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cced31fd9348a8" /></Relationships>
</file>

<file path=xl/workbook.xml><?xml version="1.0" encoding="utf-8"?>
<x:workbook xmlns:x="http://schemas.openxmlformats.org/spreadsheetml/2006/main">
  <x:sheets>
    <x:sheet xmlns:r="http://schemas.openxmlformats.org/officeDocument/2006/relationships" name="Risk Research" sheetId="1" r:id="R75bc4a039bc94e74"/>
    <x:sheet xmlns:r="http://schemas.openxmlformats.org/officeDocument/2006/relationships" name="Day 1 Progress" sheetId="2" r:id="Reff477fef5454f8e"/>
    <x:sheet xmlns:r="http://schemas.openxmlformats.org/officeDocument/2006/relationships" name="Source Verification" sheetId="3" r:id="Rce39e6a2c143440b"/>
    <x:sheet xmlns:r="http://schemas.openxmlformats.org/officeDocument/2006/relationships" name="Methodology" sheetId="4" r:id="R1e4454e5b91c4ac8"/>
    <x:sheet xmlns:r="http://schemas.openxmlformats.org/officeDocument/2006/relationships" name="Summary" sheetId="5" r:id="R1cc24e23943743a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1"/>
      <x:color rgb="FFFFFFFF"/>
      <x:name val="Carlito"/>
    </x:font>
    <x:font>
      <x:b/>
      <x:sz val="15"/>
      <x:color rgb="FFFFFFFF"/>
      <x:name val="Carlito"/>
    </x:font>
    <x:font>
      <x:b/>
      <x:sz val="11"/>
      <x:name val="Carlito"/>
    </x:font>
    <x:font>
      <x:b/>
      <x:sz val="16"/>
      <x:color rgb="FFFFFFFF"/>
      <x:name val="Carlito"/>
    </x:font>
  </x:fonts>
  <x:fills count="13">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17365D"/>
      </x:patternFill>
    </x:fill>
    <x:fill>
      <x:patternFill patternType="solid">
        <x:fgColor rgb="FF17365D"/>
      </x:patternFill>
    </x:fill>
    <x:fill>
      <x:patternFill patternType="solid">
        <x:fgColor rgb="FFD9EAF7"/>
      </x:patternFill>
    </x:fill>
    <x:fill>
      <x:patternFill patternType="solid">
        <x:fgColor rgb="FFE2F0D9"/>
      </x:patternFill>
    </x:fill>
  </x:fills>
  <x:borders count="26">
    <x:border/>
    <x:border/>
    <x:border/>
    <x:border/>
    <x:border/>
    <x:border/>
    <x:border/>
    <x:border/>
    <x:border/>
    <x:border/>
    <x:border/>
    <x:border/>
    <x:border/>
    <x:border/>
    <x:border/>
    <x:border/>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9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center"/>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3" fillId="3" borderId="0" xfId="0" applyNumberFormat="1" applyFont="1" applyFill="1" applyBorder="1" applyAlignment="1">
      <x:alignment horizontal="center" wrapText="1"/>
    </x:xf>
    <x:xf numFmtId="200" fontId="0" fillId="0" borderId="0" xfId="0" applyNumberFormat="1" applyFont="1" applyFill="1" applyBorder="1" applyAlignment="1">
      <x:alignment wrapText="1"/>
    </x:xf>
    <x:xf numFmtId="0" fontId="0" fillId="0" borderId="0"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xfId="0" applyNumberFormat="1" applyFont="1" applyFill="1" applyBorder="0"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2" fillId="6" borderId="0"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vertical="center"/>
    </x:xf>
    <x:xf numFmtId="0" fontId="3"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left"/>
    </x:xf>
    <x:xf numFmtId="0" fontId="3" fillId="8" borderId="0" xfId="0" applyNumberFormat="1" applyFont="1" applyFill="1" applyBorder="1" applyAlignment="1">
      <x:alignment horizontal="left" wrapText="1"/>
    </x:xf>
    <x:xf numFmtId="0" fontId="3" fillId="3" borderId="0" xfId="0" applyNumberFormat="1" applyFont="1" applyFill="1" applyBorder="1" applyAlignment="1">
      <x:alignment horizontal="center" vertical="center"/>
    </x:xf>
    <x:xf numFmtId="0" fontId="3" fillId="3" borderId="0" xfId="0" applyNumberFormat="1" applyFont="1" applyFill="1" applyBorder="1" applyAlignment="1">
      <x:alignment horizontal="center" vertical="center"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1" fillId="9" borderId="0" xfId="0" applyNumberFormat="1" applyFont="1" applyFill="1" applyBorder="1" applyAlignment="1">
      <x:alignment horizontal="center" vertical="center"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horizontal="center"/>
    </x:xf>
    <x:xf numFmtId="0" fontId="2" fillId="10" borderId="0" xfId="0" applyNumberFormat="1" applyFont="1" applyFill="1" applyBorder="1" applyAlignment="1">
      <x:alignment horizontal="center" vertical="center"/>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horizontal="center"/>
    </x:xf>
    <x:xf numFmtId="0" fontId="3" fillId="11" borderId="0" xfId="0" applyNumberFormat="1" applyFont="1" applyFill="1" applyBorder="1" applyAlignment="1">
      <x:alignment horizontal="center"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horizontal="center"/>
    </x:xf>
    <x:xf numFmtId="0" fontId="3" fillId="12" borderId="0" xfId="0" applyNumberFormat="1" applyFont="1" applyFill="1" applyBorder="1" applyAlignment="1">
      <x:alignment horizontal="center" wrapText="1"/>
    </x:xf>
    <x:xf numFmtId="0" fontId="4" fillId="10" borderId="0" xfId="0" applyNumberFormat="1" applyFont="1" applyFill="1" applyBorder="1"/>
    <x:xf numFmtId="0" fontId="4" fillId="10" borderId="0" xfId="0" applyNumberFormat="1" applyFont="1" applyFill="1" applyBorder="1" applyAlignment="1">
      <x:alignment horizontal="center"/>
    </x:xf>
    <x:xf numFmtId="0" fontId="4" fillId="10" borderId="0" xfId="0" applyNumberFormat="1" applyFont="1" applyFill="1" applyBorder="1" applyAlignment="1">
      <x:alignment horizontal="center" vertical="center"/>
    </x:xf>
    <x:xf numFmtId="0" fontId="1" fillId="10" borderId="0" xfId="0" applyNumberFormat="1" applyFont="1" applyFill="1" applyBorder="1" applyAlignment="1">
      <x:alignment horizontal="center" vertical="center" wrapText="1"/>
    </x:xf>
  </x:cellXfs>
  <x:cellStyles count="1">
    <x:cellStyle name="Normal" xfId="0"/>
  </x:cellStyles>
  <x:dxfs count="3">
    <x:dxf>
      <x:font>
        <x:b/>
      </x:font>
      <x:fill>
        <x:patternFill>
          <x:bgColor rgb="FFF4CCCC"/>
        </x:patternFill>
      </x:fill>
    </x:dxf>
    <x:dxf>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29371efd9b64d24" /><Relationship Type="http://schemas.openxmlformats.org/officeDocument/2006/relationships/theme" Target="/xl/theme/theme1.xml" Id="R2d4b15cabba944c1" /><Relationship Type="http://schemas.openxmlformats.org/officeDocument/2006/relationships/sharedStrings" Target="/xl/sharedStrings.xml" Id="R8aebd4cda0614921" /><Relationship Type="http://schemas.openxmlformats.org/officeDocument/2006/relationships/worksheet" Target="/xl/worksheets/sheet1.xml" Id="R75bc4a039bc94e74" /><Relationship Type="http://schemas.openxmlformats.org/officeDocument/2006/relationships/worksheet" Target="/xl/worksheets/sheet2.xml" Id="Reff477fef5454f8e" /><Relationship Type="http://schemas.openxmlformats.org/officeDocument/2006/relationships/worksheet" Target="/xl/worksheets/sheet3.xml" Id="Rce39e6a2c143440b" /><Relationship Type="http://schemas.openxmlformats.org/officeDocument/2006/relationships/worksheet" Target="/xl/worksheets/sheet4.xml" Id="R1e4454e5b91c4ac8" /><Relationship Type="http://schemas.openxmlformats.org/officeDocument/2006/relationships/worksheet" Target="/xl/worksheets/sheet5.xml" Id="R1cc24e23943743a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28" hidden="0" customWidth="1"/>
    <x:col min="3" max="3" width="25" hidden="0" customWidth="1"/>
    <x:col min="4" max="4" width="24" hidden="0" customWidth="1"/>
    <x:col min="5" max="5" width="12" hidden="0" customWidth="1"/>
    <x:col min="6" max="6" width="44" hidden="0" customWidth="1"/>
    <x:col min="7" max="7" width="38" hidden="0" customWidth="1"/>
    <x:col min="8" max="8" width="42" hidden="0" customWidth="1"/>
    <x:col min="9" max="9" width="42" hidden="0" customWidth="1"/>
    <x:col min="10" max="10" width="38" hidden="0" customWidth="1"/>
    <x:col min="11" max="11" width="34" hidden="0" customWidth="1"/>
    <x:col min="12" max="12" width="52" hidden="0" customWidth="1"/>
    <x:col min="13" max="13" width="46" hidden="0" customWidth="1"/>
  </x:cols>
  <x:sheetData>
    <x:row r="1">
      <x:c r="A1" s="6" t="str">
        <x:v>Case ID</x:v>
      </x:c>
      <x:c r="B1" s="6" t="str">
        <x:v>Location Name</x:v>
      </x:c>
      <x:c r="C1" s="6" t="str">
        <x:v>District</x:v>
      </x:c>
      <x:c r="D1" s="6" t="str">
        <x:v>Risk Type</x:v>
      </x:c>
      <x:c r="E1" s="6" t="str">
        <x:v>Risk Level</x:v>
      </x:c>
      <x:c r="F1" s="6" t="str">
        <x:v>Risk Reason</x:v>
      </x:c>
      <x:c r="G1" s="6" t="str">
        <x:v>Warning Signs</x:v>
      </x:c>
      <x:c r="H1" s="6" t="str">
        <x:v>Safety Precautions</x:v>
      </x:c>
      <x:c r="I1" s="6" t="str">
        <x:v>Approx. When Risk May Reduce</x:v>
      </x:c>
      <x:c r="J1" s="6" t="str">
        <x:v>Alternative Safe Location/Route</x:v>
      </x:c>
      <x:c r="K1" s="44" t="str">
        <x:v>Official Source Page</x:v>
      </x:c>
      <x:c r="L1" s="44" t="str">
        <x:v>Official Document / Section to Check</x:v>
      </x:c>
      <x:c r="M1" s="44" t="str">
        <x:v>Verification Note</x:v>
      </x:c>
    </x:row>
    <x:row r="2">
      <x:c r="A2" s="12" t="str">
        <x:v>RISK-001</x:v>
      </x:c>
      <x:c r="B2" s="12" t="str">
        <x:v>Chungthang</x:v>
      </x:c>
      <x:c r="C2" s="12" t="str">
        <x:v>Mangan (North Sikkim)</x:v>
      </x:c>
      <x:c r="D2" s="12" t="str">
        <x:v>Flood / GLOF</x:v>
      </x:c>
      <x:c r="E2" s="12" t="str">
        <x:v>High</x:v>
      </x:c>
      <x:c r="F2" s="12" t="str">
        <x:v>Chungthang lies in the Teesta basin and was a major impact area during the 4 Oct 2023 South Lhonak GLOF. SSDMA's post-disaster assessment also places the Chungthang region in medium-high to very-high multi-hazard zones.</x:v>
      </x:c>
      <x:c r="G2" s="12" t="str">
        <x:v>Rapid rise in river level; intense/prolonged rainfall; official flood/GLOF warnings; unusual debris-laden river flow.</x:v>
      </x:c>
      <x:c r="H2" s="12" t="str">
        <x:v>Move away from river banks and low-lying areas; follow official alerts; do not cross flood water; evacuate to higher/safe ground if instructed.</x:v>
      </x:c>
      <x:c r="I2" s="12" t="str">
        <x:v>No fixed safe time. Immediate risk reduces only after river levels/rainfall subside and authorities issue an all-clear; underlying flood/GLOF risk remains.</x:v>
      </x:c>
      <x:c r="J2" s="12" t="str">
        <x:v>Use officially opened higher-ground shelters/routes; avoid Teesta river-bank roads and damaged bridges until cleared.</x:v>
      </x:c>
      <x:c r="K2" s="12" t="str">
        <x:v>https://ssdma.nic.in/resources.html</x:v>
      </x:c>
      <x:c r="L2" s="12" t="str">
        <x:v>PDNA → SIKKIM PDNA (2023 GLOF); check Roads &amp; Transport / Chungthang impact section</x:v>
      </x:c>
      <x:c r="M2" s="12" t="str">
        <x:v>Official Government of Sikkim SSDMA source. Open Resources page and click PDNA.</x:v>
      </x:c>
    </x:row>
    <x:row r="3">
      <x:c r="A3" s="12" t="str">
        <x:v>RISK-002</x:v>
      </x:c>
      <x:c r="B3" s="12" t="str">
        <x:v>Mangan Town</x:v>
      </x:c>
      <x:c r="C3" s="12" t="str">
        <x:v>Mangan (North Sikkim)</x:v>
      </x:c>
      <x:c r="D3" s="12" t="str">
        <x:v>Landslide</x:v>
      </x:c>
      <x:c r="E3" s="12" t="str">
        <x:v>High</x:v>
      </x:c>
      <x:c r="F3" s="12" t="str">
        <x:v>SSDMA states that recurring landslide issues affect the SNT site in Mangan town and has initiated a pilot mitigation project with NDMA support. The work includes slope stabilization and drainage measures, showing that the area requires active landslide-risk management.</x:v>
      </x:c>
      <x:c r="G3" s="12" t="str">
        <x:v>Continuous heavy rain; fresh cracks; falling stones/debris; blocked drains/jhoras; unusual slope movement or muddy runoff.</x:v>
      </x:c>
      <x:c r="H3" s="12" t="str">
        <x:v>Follow weather advisories; move away from slide paths and steep slopes; avoid blocked/affected roads; use only routes cleared by local authorities.</x:v>
      </x:c>
      <x:c r="I3" s="12" t="str">
        <x:v>Short-term danger may fall after heavy rain stops and slope/road inspection is completed, but recurring monsoon landslide risk remains.</x:v>
      </x:c>
      <x:c r="J3" s="12" t="str">
        <x:v>Use authority-approved diversion/open road; move toward stable open areas away from active slide paths.</x:v>
      </x:c>
      <x:c r="K3" s="12" t="str">
        <x:v>https://ssdma.nic.in/activities.html</x:v>
      </x:c>
      <x:c r="L3" s="12" t="str">
        <x:v>Pilot Project for Landslide Mitigation at Mangan (SNT Site)</x:v>
      </x:c>
      <x:c r="M3" s="12" t="str">
        <x:v>Official SSDMA activity page directly states recurring landslide issues at Mangan SNT site.</x:v>
      </x:c>
    </x:row>
    <x:row r="4">
      <x:c r="A4" s="12" t="str">
        <x:v>RISK-003</x:v>
      </x:c>
      <x:c r="B4" s="12" t="str">
        <x:v>7th Mile, Gangtok–Tsomgo Road</x:v>
      </x:c>
      <x:c r="C4" s="12" t="str">
        <x:v>Gangtok / East Sikkim</x:v>
      </x:c>
      <x:c r="D4" s="12" t="str">
        <x:v>Landslide / Road Risk</x:v>
      </x:c>
      <x:c r="E4" s="12" t="str">
        <x:v>High</x:v>
      </x:c>
      <x:c r="F4" s="12" t="str">
        <x:v>SSDMA's landslide inventory identifies the 7th Mile Gangtok–Tsomgo Road slide as an old perennial slide. Documented triggers include steep slope, sheared rocks and water, with road damage noted.</x:v>
      </x:c>
      <x:c r="G4" s="12" t="str">
        <x:v>Rock/debris fall; cracks or fresh material on road; heavy rain; water seepage; traffic/road closure notices.</x:v>
      </x:c>
      <x:c r="H4" s="12" t="str">
        <x:v>Avoid stopping below unstable slopes; follow road-closure instructions; do not cross fresh debris; stay alert during heavy rain and use only cleared routes.</x:v>
      </x:c>
      <x:c r="I4" s="12" t="str">
        <x:v>Event risk may reduce after rainfall eases and debris/slope is inspected and cleared; the site remains a perennial landslide location.</x:v>
      </x:c>
      <x:c r="J4" s="12" t="str">
        <x:v>Use an officially announced diversion or postpone travel if the J.N. Road/Tsomgo route is closed.</x:v>
      </x:c>
      <x:c r="K4" s="12" t="str">
        <x:v>https://ssdma.nic.in/publications.html</x:v>
      </x:c>
      <x:c r="L4" s="12" t="str">
        <x:v>Inventory &amp; GIS Mapping of Landslides → '7th Mile Gangtok–Tsomgo Road' (slide no. 30)</x:v>
      </x:c>
      <x:c r="M4" s="12" t="str">
        <x:v>Official SSDMA publication; listed as a perennial landslide site with road-related impacts.</x:v>
      </x:c>
    </x:row>
    <x:row r="5">
      <x:c r="A5" s="33" t="str">
        <x:v>RISK-004</x:v>
      </x:c>
      <x:c r="B5" s="34" t="str">
        <x:v>Jitlang Slide, Rangpo</x:v>
      </x:c>
      <x:c r="C5" s="34" t="str">
        <x:v>East Sikkim (source classification)</x:v>
      </x:c>
      <x:c r="D5" s="34" t="str">
        <x:v>Landslide / Road Risk</x:v>
      </x:c>
      <x:c r="E5" s="34" t="str">
        <x:v>High</x:v>
      </x:c>
      <x:c r="F5" s="34" t="str">
        <x:v>SSDMA's landslide inventory describes Jitlang Slide at Rangpo as an old, complex and perennial slide. The site has faulted/sheared rock and steep-slope conditions, with recorded damage to NH 31A and habitation.</x:v>
      </x:c>
      <x:c r="G5" s="34" t="str">
        <x:v>Fresh cracks or slope movement; falling rock/debris; blocked drainage; heavy rain; official road/landslide warning.</x:v>
      </x:c>
      <x:c r="H5" s="34" t="str">
        <x:v>Keep away from the slide path and unstable slopes; follow official road closures; do not cross fresh debris; move to a stable open/safe area if authorities advise evacuation.</x:v>
      </x:c>
      <x:c r="I5" s="34" t="str">
        <x:v>Immediate danger may reduce after rainfall stops, drainage/slope conditions stabilize and authorities inspect/clear the road. The underlying site remains a perennial landslide hazard.</x:v>
      </x:c>
      <x:c r="J5" s="34" t="str">
        <x:v>Use only an authority-approved diversion/open route around Rangpo; avoid the affected NH corridor until clearance.</x:v>
      </x:c>
      <x:c r="K5" s="34" t="str">
        <x:v>https://ssdma.nic.in/publications.html</x:v>
      </x:c>
      <x:c r="L5" s="35" t="str">
        <x:v>Inventory &amp; GIS Mapping of Landslides → 'Jitlang Slide, Rangpo' (slide no. 21)</x:v>
      </x:c>
      <x:c r="M5" s="12" t="str">
        <x:v>Official SSDMA publication; exact slide name is listed in the inventory.</x:v>
      </x:c>
    </x:row>
    <x:row r="6">
      <x:c r="A6" s="36" t="str">
        <x:v>RISK-005</x:v>
      </x:c>
      <x:c r="B6" s="37" t="str">
        <x:v>Lower Tintek Marchak (Dikchu–Singtam corridor)</x:v>
      </x:c>
      <x:c r="C6" s="37" t="str">
        <x:v>East Sikkim (source classification)</x:v>
      </x:c>
      <x:c r="D6" s="37" t="str">
        <x:v>Landslide / Road Risk</x:v>
      </x:c>
      <x:c r="E6" s="37" t="str">
        <x:v>High</x:v>
      </x:c>
      <x:c r="F6" s="37" t="str">
        <x:v>SSDMA records this site as an old perennial debris-avalanche slide. Weak geology, excessive rainfall and unmanaged drainage are listed triggers; past damage included road, houses and agricultural land.</x:v>
      </x:c>
      <x:c r="G6" s="37" t="str">
        <x:v>Intense/prolonged rain; muddy runoff; falling boulders/debris; new cracks; drain overflow; road blockage.</x:v>
      </x:c>
      <x:c r="H6" s="37" t="str">
        <x:v>Avoid the affected slope and road section; follow local traffic restrictions; move away from drainage channels and slide paths; use only routes declared open by authorities.</x:v>
      </x:c>
      <x:c r="I6" s="37" t="str">
        <x:v>Short-term risk may reduce after heavy rainfall ends, drainage flow normalizes and the slope/road is inspected. Recurrence remains possible because the site is classified as perennial.</x:v>
      </x:c>
      <x:c r="J6" s="37" t="str">
        <x:v>Use an officially announced Dikchu–Singtam diversion when available; otherwise delay travel until the road is cleared.</x:v>
      </x:c>
      <x:c r="K6" s="37" t="str">
        <x:v>https://ssdma.nic.in/publications.html</x:v>
      </x:c>
      <x:c r="L6" s="38" t="str">
        <x:v>Inventory &amp; GIS Mapping of Landslides → 'Lower Tintek Marchak Slide' (slide no. 24)</x:v>
      </x:c>
      <x:c r="M6" s="12" t="str">
        <x:v>Official SSDMA publication; exact slide name is listed in the inventory.</x:v>
      </x:c>
    </x:row>
    <x:row r="7">
      <x:c r="A7" s="36" t="str">
        <x:v>RISK-006</x:v>
      </x:c>
      <x:c r="B7" s="37" t="str">
        <x:v>2nd Mile, Kumrek</x:v>
      </x:c>
      <x:c r="C7" s="37" t="str">
        <x:v>East Sikkim (source classification)</x:v>
      </x:c>
      <x:c r="D7" s="37" t="str">
        <x:v>Landslide / Road Risk</x:v>
      </x:c>
      <x:c r="E7" s="37" t="str">
        <x:v>High</x:v>
      </x:c>
      <x:c r="F7" s="37" t="str">
        <x:v>SSDMA's inventory identifies 2nd Mile Kumrek as an old perennial complex slide. Adverse geology, steep slope and toe cutting are listed as triggers, with recorded damage to road and forest.</x:v>
      </x:c>
      <x:c r="G7" s="37" t="str">
        <x:v>Rock/soil fall; visible slope cracks; road-edge deformation; heavy rainfall; fresh debris on the road.</x:v>
      </x:c>
      <x:c r="H7" s="37" t="str">
        <x:v>Do not stop below unstable cut slopes; obey closures; avoid crossing active debris; remain alert during rain and use only cleared road sections.</x:v>
      </x:c>
      <x:c r="I7" s="37" t="str">
        <x:v>Event-level danger may reduce after rainfall and slope movement subside and road inspection is completed. Long-term susceptibility remains because the slide is recorded as perennial.</x:v>
      </x:c>
      <x:c r="J7" s="37" t="str">
        <x:v>Follow authority-approved alternative roads or postpone travel if the affected road section is closed.</x:v>
      </x:c>
      <x:c r="K7" s="37" t="str">
        <x:v>https://ssdma.nic.in/publications.html</x:v>
      </x:c>
      <x:c r="L7" s="38" t="str">
        <x:v>Inventory &amp; GIS Mapping of Landslides → '2nd Mile, Kumrek Slide' (slide no. 23)</x:v>
      </x:c>
      <x:c r="M7" s="12" t="str">
        <x:v>Official SSDMA publication; exact slide name is listed in the inventory.</x:v>
      </x:c>
    </x:row>
    <x:row r="8">
      <x:c r="A8" s="36" t="str">
        <x:v>RISK-007</x:v>
      </x:c>
      <x:c r="B8" s="37" t="str">
        <x:v>Chandmari, Gangtok</x:v>
      </x:c>
      <x:c r="C8" s="37" t="str">
        <x:v>Gangtok District</x:v>
      </x:c>
      <x:c r="D8" s="37" t="str">
        <x:v>Landslide</x:v>
      </x:c>
      <x:c r="E8" s="37" t="str">
        <x:v>High</x:v>
      </x:c>
      <x:c r="F8" s="37" t="str">
        <x:v>SSDMA operates a real-time landslide early-warning system at Chandmari. Sensors monitor ground movement and moisture and are used to identify threshold conditions for potential landslides, indicating a location requiring active landslide monitoring.</x:v>
      </x:c>
      <x:c r="G8" s="37" t="str">
        <x:v>Official early-warning alert; abnormal ground movement; increasing soil moisture after heavy rain; fresh cracks; small rock/soil falls.</x:v>
      </x:c>
      <x:c r="H8" s="37" t="str">
        <x:v>Follow official warnings immediately; move away from unstable slopes/slide paths; stay alert during heavy rainfall; evacuate to a designated safe area if instructed.</x:v>
      </x:c>
      <x:c r="I8" s="37" t="str">
        <x:v>Short-term danger may reduce when rainfall stops, sensor readings return to stable levels and authorities withdraw the warning. No fixed safe time should be assumed.</x:v>
      </x:c>
      <x:c r="J8" s="37" t="str">
        <x:v>Move to an officially designated stable/open safe area; use only local routes confirmed open by authorities.</x:v>
      </x:c>
      <x:c r="K8" s="37" t="str">
        <x:v>https://ssdma.nic.in/activities.html</x:v>
      </x:c>
      <x:c r="L8" s="38" t="str">
        <x:v>Real-Time Landslide Early Warning System – Chandmari, Gangtok</x:v>
      </x:c>
      <x:c r="M8" s="12" t="str">
        <x:v>Official SSDMA activity page documents the real-time early-warning system at Chandmari.</x:v>
      </x:c>
    </x:row>
    <x:row r="9">
      <x:c r="A9" s="39" t="str">
        <x:v>RISK-008</x:v>
      </x:c>
      <x:c r="B9" s="40" t="str">
        <x:v>South Lhonak Glacial Lake / downstream Teesta corridor</x:v>
      </x:c>
      <x:c r="C9" s="40" t="str">
        <x:v>Mangan (North Sikkim)</x:v>
      </x:c>
      <x:c r="D9" s="40" t="str">
        <x:v>Flood / GLOF</x:v>
      </x:c>
      <x:c r="E9" s="40" t="str">
        <x:v>High</x:v>
      </x:c>
      <x:c r="F9" s="40" t="str">
        <x:v>South Lhonak is a critical glacial lake monitored for GLOF risk. It was associated with the 4 October 2023 GLOF disaster that severely affected downstream Teesta-valley areas, so sudden lake outburst and downstream flood propagation are key hazards.</x:v>
      </x:c>
      <x:c r="G9" s="40" t="str">
        <x:v>Official GLOF/flood alert; unusual lake or river-level rise; intense precipitation; sudden debris-laden flow; evacuation warnings for downstream areas.</x:v>
      </x:c>
      <x:c r="H9" s="40" t="str">
        <x:v>Move to higher ground away from river channels and low-lying flood zones; follow SSDMA/local authority alerts; never attempt to cross fast flood water; evacuate when instructed.</x:v>
      </x:c>
      <x:c r="I9" s="40" t="str">
        <x:v>Immediate downstream danger may reduce only after lake/river monitoring stabilizes and authorities issue an all-clear. The long-term GLOF hazard cannot be assigned a fixed end time.</x:v>
      </x:c>
      <x:c r="J9" s="40" t="str">
        <x:v>Use designated higher-ground shelters/routes and avoid the Teesta river corridor or damaged bridges until authorities confirm safe access.</x:v>
      </x:c>
      <x:c r="K9" s="40" t="str">
        <x:v>https://ssdma.nic.in/activities.html</x:v>
      </x:c>
      <x:c r="L9" s="41" t="str">
        <x:v>GLOF Monitoring → South Lhonak Glacial Lake, North Sikkim</x:v>
      </x:c>
      <x:c r="M9" s="12" t="str">
        <x:v>Official SSDMA activity page lists South Lhonak monitoring; the 2023 event is also documented in the PDNA.</x:v>
      </x:c>
    </x:row>
    <x:row r="10">
      <x:c r="A10" s="64" t="str">
        <x:v>RISK-009</x:v>
      </x:c>
      <x:c r="B10" s="65" t="str">
        <x:v>13th Mile Slide, J.N. Road</x:v>
      </x:c>
      <x:c r="C10" s="65" t="str">
        <x:v>East Sikkim (source classification)</x:v>
      </x:c>
      <x:c r="D10" s="65" t="str">
        <x:v>Landslide / Road Risk</x:v>
      </x:c>
      <x:c r="E10" s="65" t="str">
        <x:v>High</x:v>
      </x:c>
      <x:c r="F10" s="65" t="str">
        <x:v>SSDMA's landslide inventory records the 13th Mile slide on J.N. Road as an old active landslide. It is associated with steep slope conditions, downslope-dipping rock foliation, freeze-thaw action and rainwater, with J.N. Road listed as damaged infrastructure.</x:v>
      </x:c>
      <x:c r="G10" s="65" t="str">
        <x:v>Heavy/prolonged rain; fresh rock or debris fall; cracks/subsidence near the road; unusual slope movement; official road warning or closure.</x:v>
      </x:c>
      <x:c r="H10" s="65" t="str">
        <x:v>Avoid stopping below unstable slopes; follow road-closure instructions; do not cross fresh debris; keep away from active slide zones and use only routes cleared by authorities.</x:v>
      </x:c>
      <x:c r="I10" s="65" t="str">
        <x:v>Immediate travel risk may reduce after rainfall stops, slope movement stabilizes and authorities inspect/clear the road. The site remains an active recorded landslide location.</x:v>
      </x:c>
      <x:c r="J10" s="65" t="str">
        <x:v>Use only an officially opened diversion; postpone J.N. Road travel if the affected section is closed.</x:v>
      </x:c>
      <x:c r="K10" s="65" t="str">
        <x:v>https://ssdma.nic.in/publications.html</x:v>
      </x:c>
      <x:c r="L10" s="65" t="str">
        <x:v>Inventory &amp; GIS Mapping of Landslides → '13th Mile Slide on J.N. Road' (slide no. 31)</x:v>
      </x:c>
      <x:c r="M10" s="66" t="str">
        <x:v>Official SSDMA inventory lists the site as active and records J.N. Road damage. 'High' is a Bhudrishti research classification, not a live alert.</x:v>
      </x:c>
    </x:row>
    <x:row r="11">
      <x:c r="A11" s="67" t="str">
        <x:v>RISK-010</x:v>
      </x:c>
      <x:c r="B11" s="37" t="str">
        <x:v>14th Mile Slide, J.N. Road</x:v>
      </x:c>
      <x:c r="C11" s="37" t="str">
        <x:v>East Sikkim (source classification)</x:v>
      </x:c>
      <x:c r="D11" s="37" t="str">
        <x:v>Landslide / Road Risk</x:v>
      </x:c>
      <x:c r="E11" s="37" t="str">
        <x:v>High</x:v>
      </x:c>
      <x:c r="F11" s="37" t="str">
        <x:v>SSDMA's inventory identifies the 14th Mile slide on J.N. Road as an old perennial slide. The documented triggers include steep slope, highly jointed/sheared rock and vibration, and the inventory records damage to J.N. Road.</x:v>
      </x:c>
      <x:c r="G11" s="37" t="str">
        <x:v>Rock/boulder fall; fresh debris; visible cracks; heavy rain; vibration-related slope movement; official traffic restriction.</x:v>
      </x:c>
      <x:c r="H11" s="37" t="str">
        <x:v>Stay away from unstable cut slopes; obey road closures; do not cross fresh slide material; travel only after the road section is officially cleared.</x:v>
      </x:c>
      <x:c r="I11" s="37" t="str">
        <x:v>Event-level danger may reduce after slope conditions stabilize and inspection/clearance is completed. Long-term susceptibility remains because the slide is recorded as perennial.</x:v>
      </x:c>
      <x:c r="J11" s="37" t="str">
        <x:v>Use an authority-approved alternate route or delay travel while the affected J.N. Road section is closed.</x:v>
      </x:c>
      <x:c r="K11" s="37" t="str">
        <x:v>https://ssdma.nic.in/publications.html</x:v>
      </x:c>
      <x:c r="L11" s="37" t="str">
        <x:v>Inventory &amp; GIS Mapping of Landslides → '14th Mile Slide on J.N. Road' (slide no. 33)</x:v>
      </x:c>
      <x:c r="M11" s="68" t="str">
        <x:v>Official SSDMA inventory records the slide as perennial with J.N. Road damage. Project risk rating is not a current warning.</x:v>
      </x:c>
    </x:row>
    <x:row r="12">
      <x:c r="A12" s="67" t="str">
        <x:v>RISK-011</x:v>
      </x:c>
      <x:c r="B12" s="37" t="str">
        <x:v>Kyongsla Slide, J.N. Road (15th Mile)</x:v>
      </x:c>
      <x:c r="C12" s="37" t="str">
        <x:v>East Sikkim (source classification)</x:v>
      </x:c>
      <x:c r="D12" s="37" t="str">
        <x:v>Landslide / Road Risk</x:v>
      </x:c>
      <x:c r="E12" s="37" t="str">
        <x:v>High</x:v>
      </x:c>
      <x:c r="F12" s="37" t="str">
        <x:v>SSDMA records Kyongsla Slide on J.N. Road (15th Mile) as a block-and-wedge failure in jointed gneiss within a shear zone. Steep slope, jointed/sheared rock and vibration are listed triggers, with J.N. Road damage and a return period described as perennial unless corrected.</x:v>
      </x:c>
      <x:c r="G12" s="37" t="str">
        <x:v>Falling boulders/rock; fresh fractures; debris on road; slope movement; heavy rain or vibration; official closure warning.</x:v>
      </x:c>
      <x:c r="H12" s="37" t="str">
        <x:v>Keep clear of the rock-fall zone; do not stop below unstable slopes; obey closures; cross the area only after official inspection and clearance.</x:v>
      </x:c>
      <x:c r="I12" s="37" t="str">
        <x:v>Short-term risk may reduce after active movement stops and the road/slope is cleared. The recorded hazard can recur unless corrective stabilization is completed.</x:v>
      </x:c>
      <x:c r="J12" s="37" t="str">
        <x:v>Follow an officially announced diversion or postpone travel on the affected J.N. Road section.</x:v>
      </x:c>
      <x:c r="K12" s="37" t="str">
        <x:v>https://ssdma.nic.in/publications.html</x:v>
      </x:c>
      <x:c r="L12" s="37" t="str">
        <x:v>Inventory &amp; GIS Mapping of Landslides → 'Kyongsla Slide on JN Road (15th Mile)' (slide no. 36)</x:v>
      </x:c>
      <x:c r="M12" s="68" t="str">
        <x:v>Official SSDMA inventory states 'perennial unless corrected'. 'High' is used for the project dataset, not as a live official alert.</x:v>
      </x:c>
    </x:row>
    <x:row r="13">
      <x:c r="A13" s="67" t="str">
        <x:v>RISK-012</x:v>
      </x:c>
      <x:c r="B13" s="37" t="str">
        <x:v>Singtam, Teesta River Corridor</x:v>
      </x:c>
      <x:c r="C13" s="37" t="str">
        <x:v>Gangtok District</x:v>
      </x:c>
      <x:c r="D13" s="37" t="str">
        <x:v>Flood / Road Risk</x:v>
      </x:c>
      <x:c r="E13" s="37" t="str">
        <x:v>High</x:v>
      </x:c>
      <x:c r="F13" s="37" t="str">
        <x:v>Official SSDMA records from the October 2023 Teesta-basin flood document major impacts in Singtam, including a washed-out bridge, extensive NH-10 damage, damaged sewage infrastructure and submergence of power-related facilities. This demonstrates high exposure of low-lying river-corridor infrastructure to severe flood events.</x:v>
      </x:c>
      <x:c r="G13" s="37" t="str">
        <x:v>Rapid Teesta water-level rise; intense rainfall or upstream flood/GLOF alert; debris-laden water; bridge/road closure; evacuation warning.</x:v>
      </x:c>
      <x:c r="H13" s="37" t="str">
        <x:v>Move to higher ground away from the river and low-lying areas; follow official alerts; never cross floodwater; avoid damaged bridges and NH sections until authorities reopen them.</x:v>
      </x:c>
      <x:c r="I13" s="37" t="str">
        <x:v>Immediate risk reduces only after river levels fall, rainfall/upstream alerts ease and authorities issue an all-clear. There is no fixed safe-time estimate for a severe flood event.</x:v>
      </x:c>
      <x:c r="J13" s="37" t="str">
        <x:v>Use designated higher-ground shelters and only routes officially declared open; avoid the Teesta riverbank/NH-10 affected stretch during an active alert.</x:v>
      </x:c>
      <x:c r="K13" s="37" t="str">
        <x:v>https://ssdma.nic.in/notifications.html</x:v>
      </x:c>
      <x:c r="L13" s="37" t="str">
        <x:v>Sikkim GLOF Post Disaster Needs Assessment (PDNA) 2023 → search 'Singtam'; also SSDMA flood damage report dated 19 Oct 2023</x:v>
      </x:c>
      <x:c r="M13" s="68" t="str">
        <x:v>Official Government of Sikkim SSDMA records document 2023 flood damage in Singtam. Dataset rating is historical-risk classification, not a current alert.</x:v>
      </x:c>
    </x:row>
    <x:row r="14">
      <x:c r="A14" s="69" t="str">
        <x:v>RISK-013</x:v>
      </x:c>
      <x:c r="B14" s="70" t="str">
        <x:v>Rangpo, Teesta River Corridor</x:v>
      </x:c>
      <x:c r="C14" s="70" t="str">
        <x:v>Pakyong District</x:v>
      </x:c>
      <x:c r="D14" s="70" t="str">
        <x:v>Flood / Road Risk</x:v>
      </x:c>
      <x:c r="E14" s="70" t="str">
        <x:v>High</x:v>
      </x:c>
      <x:c r="F14" s="70" t="str">
        <x:v>SSDMA's official October 2023 flood-damage record states that Rangpo and nearby areas were severely affected, with NH-10 damage, submerged facilities and riverside habitations, plus extensive infrastructure damage. This indicates significant flood and transport exposure along the Teesta corridor.</x:v>
      </x:c>
      <x:c r="G14" s="70" t="str">
        <x:v>Rapid river rise; official flood/GLOF warning; intense rainfall; water/debris entering riverside areas; NH-10 closure or bridge/utility disruption.</x:v>
      </x:c>
      <x:c r="H14" s="70" t="str">
        <x:v>Move away from riverbanks and low-lying areas; follow evacuation directions; never drive through floodwater; avoid NH-10 and damaged infrastructure until officially cleared.</x:v>
      </x:c>
      <x:c r="I14" s="70" t="str">
        <x:v>Immediate danger may reduce after Teesta levels fall and authorities confirm that roads, bridges and utilities are safe. Long-term flood exposure remains and has no fixed end time.</x:v>
      </x:c>
      <x:c r="J14" s="70" t="str">
        <x:v>Use higher-ground safe areas and authority-approved alternate routes; avoid the Teesta/NH-10 corridor during an active warning.</x:v>
      </x:c>
      <x:c r="K14" s="70" t="str">
        <x:v>https://ssdma.nic.in/notifications.html</x:v>
      </x:c>
      <x:c r="L14" s="70" t="str">
        <x:v>Sikkim GLOF Post Disaster Needs Assessment (PDNA) 2023 → search 'Rangpo'; also SSDMA flood damage report dated 19 Oct 2023</x:v>
      </x:c>
      <x:c r="M14" s="71" t="str">
        <x:v>Official SSDMA records document severe 2023 flood impacts in Rangpo. 'High' is a Bhudrishti research classification, not a live alert.</x:v>
      </x:c>
    </x:row>
    <x:row r="15">
      <x:c r="A15" s="73" t="str">
        <x:v>RISK-014</x:v>
      </x:c>
      <x:c r="B15" s="74" t="str">
        <x:v>Bordang Slide on Rangpo–Singtam Road</x:v>
      </x:c>
      <x:c r="C15" s="74" t="str">
        <x:v>East Sikkim (source classification)</x:v>
      </x:c>
      <x:c r="D15" s="74" t="str">
        <x:v>Landslide / Road Risk</x:v>
      </x:c>
      <x:c r="E15" s="74" t="str">
        <x:v>High</x:v>
      </x:c>
      <x:c r="F15" s="74" t="str">
        <x:v>SSDMA records Bordang as an old, active complex landslide on the Rangpo–Singtam road. The site has sheared Daling-formation rock fragments and a steep slope; NH 31A is listed as damaged. The inventory identifies adverse geology and steep slope as the main triggers.</x:v>
      </x:c>
      <x:c r="G15" s="74" t="str">
        <x:v>Fresh rock/soil fall; cracks or deformation on the road edge; unusual slope movement; debris after rain; official road restriction or closure.</x:v>
      </x:c>
      <x:c r="H15" s="74" t="str">
        <x:v>Keep away from the active slope and fresh debris; obey road closures; do not stop below unstable cut slopes; use only road sections that authorities have inspected and reopened.</x:v>
      </x:c>
      <x:c r="I15" s="74" t="str">
        <x:v>Short-term travel risk may reduce after active movement stops and the road/slope is inspected and cleared. Because SSDMA lists the slide as active, susceptibility should not be treated as permanently removed.</x:v>
      </x:c>
      <x:c r="J15" s="74" t="str">
        <x:v>No specific alternate route is verified in the source; use only an authority-approved diversion/open route.</x:v>
      </x:c>
      <x:c r="K15" s="74" t="str">
        <x:v>https://ssdma.nic.in/publications.html</x:v>
      </x:c>
      <x:c r="L15" s="74" t="str">
        <x:v>Inventory &amp; GIS Mapping of Landslides → search 'Bordang Slide on Rangpo–Singtam Road' (East Sikkim slide no. 3)</x:v>
      </x:c>
      <x:c r="M15" s="75" t="str">
        <x:v>Official SSDMA inventory: active slide; NH 31A damage; triggers include adverse geology and steep slope. High = Bhudrishti research classification, not a live alert.</x:v>
      </x:c>
    </x:row>
    <x:row r="16">
      <x:c r="A16" s="76" t="str">
        <x:v>RISK-015</x:v>
      </x:c>
      <x:c r="B16" s="37" t="str">
        <x:v>Gantey, West Pendam (Singtam–Pendam Road)</x:v>
      </x:c>
      <x:c r="C16" s="37" t="str">
        <x:v>East Sikkim (source classification)</x:v>
      </x:c>
      <x:c r="D16" s="37" t="str">
        <x:v>Landslide / Road Risk</x:v>
      </x:c>
      <x:c r="E16" s="37" t="str">
        <x:v>High</x:v>
      </x:c>
      <x:c r="F16" s="37" t="str">
        <x:v>SSDMA describes Gantey, West Pendam as a large subsidence/rotational slide with thick slope material and excessive groundwater. Recorded impacts include road, agricultural land, forest and habitation, indicating both transport and settlement exposure.</x:v>
      </x:c>
      <x:c r="G16" s="37" t="str">
        <x:v>Ground cracks or sinking; tilted/uneven road surface; seepage or unusually wet ground; boulder/soil movement; worsening conditions after prolonged rain.</x:v>
      </x:c>
      <x:c r="H16" s="37" t="str">
        <x:v>Move away from visibly subsiding ground and unstable slopes; avoid affected road sections; follow evacuation/traffic instructions; keep drainage paths clear where safe to do so.</x:v>
      </x:c>
      <x:c r="I16" s="37" t="str">
        <x:v>There is no reliable fixed recovery time. SSDMA notes no return estimate considering the size of the subsidence; immediate risk should be considered reduced only after ground movement and water conditions stabilize and authorities inspect the site.</x:v>
      </x:c>
      <x:c r="J16" s="37" t="str">
        <x:v>No official alternate route is specified in the inventory; follow local authority diversions.</x:v>
      </x:c>
      <x:c r="K16" s="37" t="str">
        <x:v>https://ssdma.nic.in/publications.html</x:v>
      </x:c>
      <x:c r="L16" s="37" t="str">
        <x:v>Inventory &amp; GIS Mapping of Landslides → search 'Gantey, West Pendam along-Singtam-Pendam Road' (East Sikkim slide no. 5)</x:v>
      </x:c>
      <x:c r="M16" s="77" t="str">
        <x:v>Official SSDMA inventory records road, agriculture, forest and habitation damage; excessive groundwater/thick slope material are noted. High = project classification.</x:v>
      </x:c>
    </x:row>
    <x:row r="17">
      <x:c r="A17" s="76" t="str">
        <x:v>RISK-016</x:v>
      </x:c>
      <x:c r="B17" s="37" t="str">
        <x:v>Padamchen Slide</x:v>
      </x:c>
      <x:c r="C17" s="37" t="str">
        <x:v>East Sikkim (source classification)</x:v>
      </x:c>
      <x:c r="D17" s="37" t="str">
        <x:v>Landslide / Road Risk</x:v>
      </x:c>
      <x:c r="E17" s="37" t="str">
        <x:v>High</x:v>
      </x:c>
      <x:c r="F17" s="37" t="str">
        <x:v>SSDMA identifies Padamchen as an old perennial rotational slide involving jointed quartzite, phyllite, rock fragments, soil and large boulders. Recorded damage includes road and agricultural land; triggers include adverse geology, quarrying, steep slope and groundwater.</x:v>
      </x:c>
      <x:c r="G17" s="37" t="str">
        <x:v>Fresh boulders/rock fragments; widening cracks; seepage; fresh scarps; debris on the road; increased activity after rain or slope cutting.</x:v>
      </x:c>
      <x:c r="H17" s="37" t="str">
        <x:v>Avoid the slide path and unstable quarry/slope areas; do not cross fresh debris; obey road closures; travel only after official inspection and clearance.</x:v>
      </x:c>
      <x:c r="I17" s="37" t="str">
        <x:v>Immediate risk may reduce after groundwater/rain conditions ease and no new movement is observed, followed by official clearance. SSDMA lists the slide as perennial, so long-term susceptibility remains.</x:v>
      </x:c>
      <x:c r="J17" s="37" t="str">
        <x:v>No specific safe route is given in the official inventory; use an authority-approved diversion or delay travel.</x:v>
      </x:c>
      <x:c r="K17" s="37" t="str">
        <x:v>https://ssdma.nic.in/publications.html</x:v>
      </x:c>
      <x:c r="L17" s="37" t="str">
        <x:v>Inventory &amp; GIS Mapping of Landslides → search 'Padamchen Slide' (East Sikkim slide no. 12)</x:v>
      </x:c>
      <x:c r="M17" s="77" t="str">
        <x:v>Official SSDMA inventory: perennial; road/agricultural damage; triggers include adverse geology, quarrying, steep slope and groundwater. High = project classification.</x:v>
      </x:c>
    </x:row>
    <x:row r="18">
      <x:c r="A18" s="76" t="str">
        <x:v>RISK-017</x:v>
      </x:c>
      <x:c r="B18" s="37" t="str">
        <x:v>Namcheybong Slide</x:v>
      </x:c>
      <x:c r="C18" s="37" t="str">
        <x:v>East Sikkim (source classification)</x:v>
      </x:c>
      <x:c r="D18" s="37" t="str">
        <x:v>Landslide / Road Risk</x:v>
      </x:c>
      <x:c r="E18" s="37" t="str">
        <x:v>High</x:v>
      </x:c>
      <x:c r="F18" s="37" t="str">
        <x:v>SSDMA records Namcheybong as an old perennial complex/translational slide. Bedrock dips downslope and the site has strong surface/sub-surface water activity. Damage is recorded to agricultural land, houses, forest and road.</x:v>
      </x:c>
      <x:c r="G18" s="37" t="str">
        <x:v>New ground or wall cracks; slope bulging; increased seepage; muddy runoff; road deformation; small debris falls that may precede larger movement.</x:v>
      </x:c>
      <x:c r="H18" s="37" t="str">
        <x:v>Move away from the slide path and unstable buildings/slopes; avoid affected roads; follow local evacuation instructions; do not enter areas with active cracking or debris movement.</x:v>
      </x:c>
      <x:c r="I18" s="37" t="str">
        <x:v>Short-term danger may reduce after groundwater levels and rainfall decrease and the slope is inspected as stable. SSDMA classifies the site as perennial, so risk can recur.</x:v>
      </x:c>
      <x:c r="J18" s="37" t="str">
        <x:v>Use only routes declared open by authorities; no site-specific alternate route is verified in the source.</x:v>
      </x:c>
      <x:c r="K18" s="37" t="str">
        <x:v>https://ssdma.nic.in/publications.html</x:v>
      </x:c>
      <x:c r="L18" s="37" t="str">
        <x:v>Inventory &amp; GIS Mapping of Landslides → search 'Namcheybong Slide' (East Sikkim slide no. 25)</x:v>
      </x:c>
      <x:c r="M18" s="77" t="str">
        <x:v>Official SSDMA inventory: houses, road, agriculture and forest affected; high groundwater/downslope bedrock; perennial. High = project classification.</x:v>
      </x:c>
    </x:row>
    <x:row r="19">
      <x:c r="A19" s="76" t="str">
        <x:v>RISK-018</x:v>
      </x:c>
      <x:c r="B19" s="37" t="str">
        <x:v>Pegay Slide, Pachey (Pakyong–Linkey Road)</x:v>
      </x:c>
      <x:c r="C19" s="37" t="str">
        <x:v>East Sikkim (source classification)</x:v>
      </x:c>
      <x:c r="D19" s="37" t="str">
        <x:v>Landslide / Road Risk</x:v>
      </x:c>
      <x:c r="E19" s="37" t="str">
        <x:v>High</x:v>
      </x:c>
      <x:c r="F19" s="37" t="str">
        <x:v>SSDMA identifies the Pegay slide as a perennial wedge-type failure on the Pakyong–Linkey road. Joint failure, underground water, steep slope and adverse geology are listed as triggers, while the road and forest are recorded as damaged.</x:v>
      </x:c>
      <x:c r="G19" s="37" t="str">
        <x:v>Rock wedges or fragments detaching; fresh debris; seepage; cracks along rock joints; road blockage or deformation, especially after rainfall.</x:v>
      </x:c>
      <x:c r="H19" s="37" t="str">
        <x:v>Stay clear of rock-fall zones; do not stop below unstable rock faces; follow closures; cross the section only after official inspection and reopening.</x:v>
      </x:c>
      <x:c r="I19" s="37" t="str">
        <x:v>Event-level danger may reduce once water conditions and rock movement stabilize and debris is cleared. Perennial classification means recurrence remains possible.</x:v>
      </x:c>
      <x:c r="J19" s="37" t="str">
        <x:v>Use an authority-approved diversion; the official inventory does not specify a permanent alternate road.</x:v>
      </x:c>
      <x:c r="K19" s="37" t="str">
        <x:v>https://ssdma.nic.in/publications.html</x:v>
      </x:c>
      <x:c r="L19" s="37" t="str">
        <x:v>Inventory &amp; GIS Mapping of Landslides → search 'Pegay Slide, Pachey, Pakyong-Linkey Road' (East Sikkim slide no. 26)</x:v>
      </x:c>
      <x:c r="M19" s="77" t="str">
        <x:v>Official SSDMA inventory: perennial wedge failure; Pakyong–Linkey road damage; underground water/steep slope/adverse geology. High = project classification.</x:v>
      </x:c>
    </x:row>
    <x:row r="20">
      <x:c r="A20" s="76" t="str">
        <x:v>RISK-019</x:v>
      </x:c>
      <x:c r="B20" s="37" t="str">
        <x:v>Rangchang Khola Slide, Tumin</x:v>
      </x:c>
      <x:c r="C20" s="37" t="str">
        <x:v>East Sikkim (source classification)</x:v>
      </x:c>
      <x:c r="D20" s="37" t="str">
        <x:v>Landslide / Rock-fall Risk</x:v>
      </x:c>
      <x:c r="E20" s="37" t="str">
        <x:v>Medium</x:v>
      </x:c>
      <x:c r="F20" s="37" t="str">
        <x:v>SSDMA records Rangchang Khola at Tumin as a recent rock-fall site in quartzite/phyllite terrain. Weak geology, steep slope and rainfall are listed triggers. The inventory records forest impact and specifically notes no impact on habitation.</x:v>
      </x:c>
      <x:c r="G20" s="37" t="str">
        <x:v>Fresh rock fragments below the slope; isolated boulder fall; new cracks in exposed rock; increased fall activity during or after rain.</x:v>
      </x:c>
      <x:c r="H20" s="37" t="str">
        <x:v>Keep away from the base of steep rock faces; avoid stopping in rock-fall paths; follow local warnings and move through affected road/slope areas only if officially cleared.</x:v>
      </x:c>
      <x:c r="I20" s="37" t="str">
        <x:v>Short-term risk may reduce after rainfall stops and no further rock fall is observed. Because the inventory describes a recent event rather than a verified permanently stabilized site, caution remains appropriate.</x:v>
      </x:c>
      <x:c r="J20" s="37" t="str">
        <x:v>No specific alternate route is provided; use local authority guidance if access is restricted.</x:v>
      </x:c>
      <x:c r="K20" s="37" t="str">
        <x:v>https://ssdma.nic.in/publications.html</x:v>
      </x:c>
      <x:c r="L20" s="37" t="str">
        <x:v>Inventory &amp; GIS Mapping of Landslides → search 'Rangchang Khola Slide (Tumin)' (East Sikkim slide no. 27)</x:v>
      </x:c>
      <x:c r="M20" s="77" t="str">
        <x:v>Official SSDMA inventory: recent rock fall; weak geology/steep slope/rainfall; forest affected, no habitation impact. Medium = project classification.</x:v>
      </x:c>
    </x:row>
    <x:row r="21">
      <x:c r="A21" s="76" t="str">
        <x:v>RISK-020</x:v>
      </x:c>
      <x:c r="B21" s="37" t="str">
        <x:v>Tsochen–Pheri Slide</x:v>
      </x:c>
      <x:c r="C21" s="37" t="str">
        <x:v>East Sikkim (source classification)</x:v>
      </x:c>
      <x:c r="D21" s="37" t="str">
        <x:v>Landslide / Road Risk</x:v>
      </x:c>
      <x:c r="E21" s="37" t="str">
        <x:v>High</x:v>
      </x:c>
      <x:c r="F21" s="37" t="str">
        <x:v>SSDMA documents Tsochen–Pheri as a very large perennial complex slide in sheared/rotated gneissic terrain. The inventory records road cut-off since 1997 along with impacts to agricultural land, habitation and forest; adverse geology and high water regime are listed triggers.</x:v>
      </x:c>
      <x:c r="G21" s="37" t="str">
        <x:v>Persistent ground movement; road cracking or collapse; large boulder/debris movement; strong seepage; renewed instability during prolonged wet periods.</x:v>
      </x:c>
      <x:c r="H21" s="37" t="str">
        <x:v>Avoid the active slide mass and closed road; move away from unstable buildings/slopes; follow evacuation and traffic restrictions; do not attempt to cross a cut-off or freshly failed road.</x:v>
      </x:c>
      <x:c r="I21" s="37" t="str">
        <x:v>No fixed recovery time should be assumed. Immediate access risk may fall only after movement/water conditions stabilize and engineering/authority inspection confirms safety; SSDMA lists the site as perennial.</x:v>
      </x:c>
      <x:c r="J21" s="37" t="str">
        <x:v>Use only officially announced alternate access; do not improvise routes across the slide area.</x:v>
      </x:c>
      <x:c r="K21" s="37" t="str">
        <x:v>https://ssdma.nic.in/publications.html</x:v>
      </x:c>
      <x:c r="L21" s="37" t="str">
        <x:v>Inventory &amp; GIS Mapping of Landslides → search 'Tsochen–Pheri Slide' (East Sikkim slide no. 28)</x:v>
      </x:c>
      <x:c r="M21" s="77" t="str">
        <x:v>Official SSDMA inventory: perennial; road cut off since 1997; habitation/agriculture/forest impacts; high water/adverse geology. High = project classification.</x:v>
      </x:c>
    </x:row>
    <x:row r="22">
      <x:c r="A22" s="76" t="str">
        <x:v>RISK-021</x:v>
      </x:c>
      <x:c r="B22" s="37" t="str">
        <x:v>Zang Busty Subsidence, near Dikchu</x:v>
      </x:c>
      <x:c r="C22" s="37" t="str">
        <x:v>East Sikkim (source classification)</x:v>
      </x:c>
      <x:c r="D22" s="37" t="str">
        <x:v>Landslide / Subsidence Risk</x:v>
      </x:c>
      <x:c r="E22" s="37" t="str">
        <x:v>High</x:v>
      </x:c>
      <x:c r="F22" s="37" t="str">
        <x:v>SSDMA records Zang Busty near Dikchu as a large perennial subsidence area with unstable boulders, debris and steep slopes. Road, agriculture and settlement are listed as affected. The inventory also notes groundwater and concerns around rim treatment near the Dikchu reservoir/dam area.</x:v>
      </x:c>
      <x:c r="G22" s="37" t="str">
        <x:v>Ground sinking or new depressions; cracks in roads/structures; boulder movement; seepage; retaining-wall distress; sudden changes near steep reservoir-side slopes.</x:v>
      </x:c>
      <x:c r="H22" s="37" t="str">
        <x:v>Stay away from visibly subsiding ground and unstable boulders; avoid affected roads/structures; follow local evacuation instructions; do not enter cracked or recently moved ground.</x:v>
      </x:c>
      <x:c r="I22" s="37" t="str">
        <x:v>Short-term danger may reduce if ground movement and groundwater conditions stabilize and the area is inspected. SSDMA lists the subsidence as perennial, so long-term recurrence remains possible.</x:v>
      </x:c>
      <x:c r="J22" s="37" t="str">
        <x:v>No verified site-specific alternate route is given; use official diversion/safe-area instructions.</x:v>
      </x:c>
      <x:c r="K22" s="37" t="str">
        <x:v>https://ssdma.nic.in/publications.html</x:v>
      </x:c>
      <x:c r="L22" s="37" t="str">
        <x:v>Inventory &amp; GIS Mapping of Landslides → search 'Zang Busty Subsidence (Near Dikchu)' (East Sikkim slide no. 29)</x:v>
      </x:c>
      <x:c r="M22" s="77" t="str">
        <x:v>Official SSDMA inventory: perennial subsidence; road/agriculture/settlement affected; unstable boulders and groundwater noted. High = project classification.</x:v>
      </x:c>
    </x:row>
    <x:row r="23">
      <x:c r="A23" s="76" t="str">
        <x:v>RISK-022</x:v>
      </x:c>
      <x:c r="B23" s="37" t="str">
        <x:v>Canteen Dara, Sawa Khola near Rongli Bridge</x:v>
      </x:c>
      <x:c r="C23" s="37" t="str">
        <x:v>East Sikkim (source classification)</x:v>
      </x:c>
      <x:c r="D23" s="37" t="str">
        <x:v>Landslide / Road Risk</x:v>
      </x:c>
      <x:c r="E23" s="37" t="str">
        <x:v>High</x:v>
      </x:c>
      <x:c r="F23" s="37" t="str">
        <x:v>SSDMA identifies this as an old perennial rotational slide with thick slope-forming material and active groundwater. Recorded damage includes the road between Rongli and Rorathang/Rhenock and forest; adverse geology and high groundwater are listed triggers.</x:v>
      </x:c>
      <x:c r="G23" s="37" t="str">
        <x:v>Road-edge cracks or settlement; muddy seepage; small rotational slumps; debris or boulders reaching the road; worsening after prolonged rainfall.</x:v>
      </x:c>
      <x:c r="H23" s="37" t="str">
        <x:v>Avoid the affected slope and road during active movement; obey closures; do not cross fresh slide debris; travel only after road and slope inspection.</x:v>
      </x:c>
      <x:c r="I23" s="37" t="str">
        <x:v>Immediate travel risk may reduce after groundwater/rainfall conditions ease and the road is cleared. Perennial classification means the site remains susceptible.</x:v>
      </x:c>
      <x:c r="J23" s="37" t="str">
        <x:v>Use an authority-approved Rongli-area diversion if announced; no fixed alternate route is verified in the inventory.</x:v>
      </x:c>
      <x:c r="K23" s="37" t="str">
        <x:v>https://ssdma.nic.in/publications.html</x:v>
      </x:c>
      <x:c r="L23" s="37" t="str">
        <x:v>Inventory &amp; GIS Mapping of Landslides → search 'Canteen Dara, Sawa Khola near Rongli Bridge' (East Sikkim slide no. 32)</x:v>
      </x:c>
      <x:c r="M23" s="77" t="str">
        <x:v>Official SSDMA inventory: perennial; road/forest damage; active groundwater and adverse geology. High = project classification.</x:v>
      </x:c>
    </x:row>
    <x:row r="24">
      <x:c r="A24" s="76" t="str">
        <x:v>RISK-023</x:v>
      </x:c>
      <x:c r="B24" s="37" t="str">
        <x:v>Bhutia Khola, Dalapchand–Regle</x:v>
      </x:c>
      <x:c r="C24" s="37" t="str">
        <x:v>East Sikkim (source classification)</x:v>
      </x:c>
      <x:c r="D24" s="37" t="str">
        <x:v>Landslide / Road Risk</x:v>
      </x:c>
      <x:c r="E24" s="37" t="str">
        <x:v>High</x:v>
      </x:c>
      <x:c r="F24" s="37" t="str">
        <x:v>SSDMA records Bhutia Khola, Dalapchand–Regle as an old perennial complex/translational slide in highly disturbed Daling-group rocks. The Rongli–Dalapchand road, forest and cardamom areas are listed as damaged; high groundwater and adverse geology are key triggers.</x:v>
      </x:c>
      <x:c r="G24" s="37" t="str">
        <x:v>Road cracking; slope deformation; boulder movement; increased seepage; debris accumulation; renewed movement after extended wet weather.</x:v>
      </x:c>
      <x:c r="H24" s="37" t="str">
        <x:v>Avoid unstable slopes and affected road sections; obey closures; move away from active debris/boulder paths; use only routes officially reopened.</x:v>
      </x:c>
      <x:c r="I24" s="37" t="str">
        <x:v>Event risk may reduce after groundwater and movement stabilize and the road is inspected/cleared. SSDMA lists the slide as perennial, so recurrence remains possible.</x:v>
      </x:c>
      <x:c r="J24" s="37" t="str">
        <x:v>Use only an official diversion; no permanent alternate route is stated in the source.</x:v>
      </x:c>
      <x:c r="K24" s="37" t="str">
        <x:v>https://ssdma.nic.in/publications.html</x:v>
      </x:c>
      <x:c r="L24" s="37" t="str">
        <x:v>Inventory &amp; GIS Mapping of Landslides → search 'Bhutia Khola, Dalapchand, Regle' (East Sikkim slide no. 34)</x:v>
      </x:c>
      <x:c r="M24" s="77" t="str">
        <x:v>Official SSDMA inventory: perennial; Rongli–Dalapchand road/forest/cardamom damage; groundwater/adverse geology. High = project classification.</x:v>
      </x:c>
    </x:row>
    <x:row r="25">
      <x:c r="A25" s="76" t="str">
        <x:v>RISK-024</x:v>
      </x:c>
      <x:c r="B25" s="37" t="str">
        <x:v>Doksing on Rhenock–Rongli Road</x:v>
      </x:c>
      <x:c r="C25" s="37" t="str">
        <x:v>East Sikkim (source classification)</x:v>
      </x:c>
      <x:c r="D25" s="37" t="str">
        <x:v>Landslide / Road Risk</x:v>
      </x:c>
      <x:c r="E25" s="37" t="str">
        <x:v>High</x:v>
      </x:c>
      <x:c r="F25" s="37" t="str">
        <x:v>SSDMA describes Doksing as a perennial wedge-type landslide in adverse Daling-group geology. The documented slide extends roughly 2 km and has damaged the Rongli–Rhenock road; steep slope and fractured rock are listed triggers.</x:v>
      </x:c>
      <x:c r="G25" s="37" t="str">
        <x:v>Rock wedges or fragments falling; fresh fractures; debris on carriageway; road-edge distress; increased activity after rain or vibration.</x:v>
      </x:c>
      <x:c r="H25" s="37" t="str">
        <x:v>Do not stop below fractured rock slopes; obey closures; avoid crossing fresh debris; move through only after official inspection and clearance.</x:v>
      </x:c>
      <x:c r="I25" s="37" t="str">
        <x:v>Short-term road risk may reduce when active rock movement stops and the road is cleared. SSDMA lists the site as perennial, so recurrence remains possible.</x:v>
      </x:c>
      <x:c r="J25" s="37" t="str">
        <x:v>Use an authority-approved alternate route or delay travel; no specific permanent alternative is verified in the inventory.</x:v>
      </x:c>
      <x:c r="K25" s="37" t="str">
        <x:v>https://ssdma.nic.in/publications.html</x:v>
      </x:c>
      <x:c r="L25" s="37" t="str">
        <x:v>Inventory &amp; GIS Mapping of Landslides → search 'Doksing on Rhenock–Rongli Road' (East Sikkim slide no. 35)</x:v>
      </x:c>
      <x:c r="M25" s="77" t="str">
        <x:v>Official SSDMA inventory: perennial wedge failure; Rongli–Rhenock road damaged; steep slope/fractured rock triggers. High = project classification.</x:v>
      </x:c>
    </x:row>
    <x:row r="26">
      <x:c r="A26" s="76" t="str">
        <x:v>RISK-025</x:v>
      </x:c>
      <x:c r="B26" s="37" t="str">
        <x:v>Mangshila Slide</x:v>
      </x:c>
      <x:c r="C26" s="37" t="str">
        <x:v>North Sikkim (source classification)</x:v>
      </x:c>
      <x:c r="D26" s="37" t="str">
        <x:v>Landslide / Road &amp; Settlement Risk</x:v>
      </x:c>
      <x:c r="E26" s="37" t="str">
        <x:v>High</x:v>
      </x:c>
      <x:c r="F26" s="37" t="str">
        <x:v>SSDMA records Mangshila as an old debris slide in a highly disturbed geological formation. Agricultural land, road and houses are listed as damaged, while bad geology and high groundwater/rainwater are identified as triggers.</x:v>
      </x:c>
      <x:c r="G26" s="37" t="str">
        <x:v>Muddy debris movement; ground cracks; seepage; road obstruction; slope movement near houses or agricultural terraces, especially during wet periods.</x:v>
      </x:c>
      <x:c r="H26" s="37" t="str">
        <x:v>Keep away from active debris paths and unstable slopes; avoid blocked roads; follow evacuation instructions if houses are threatened; use only cleared routes.</x:v>
      </x:c>
      <x:c r="I26" s="37" t="str">
        <x:v>Immediate risk may reduce after rain/groundwater conditions ease and no new movement is observed, followed by inspection. The source does not provide a reliable return period.</x:v>
      </x:c>
      <x:c r="J26" s="37" t="str">
        <x:v>No specific alternative route is verified; follow district/local authority diversions.</x:v>
      </x:c>
      <x:c r="K26" s="37" t="str">
        <x:v>https://ssdma.nic.in/publications.html</x:v>
      </x:c>
      <x:c r="L26" s="37" t="str">
        <x:v>Inventory &amp; GIS Mapping of Landslides → search 'Mangshila Slide' (North Sikkim slide no. 3)</x:v>
      </x:c>
      <x:c r="M26" s="77" t="str">
        <x:v>Official SSDMA inventory: road, houses and agriculture damaged; bad geology/high ground or rain water triggers. High = project classification.</x:v>
      </x:c>
    </x:row>
    <x:row r="27">
      <x:c r="A27" s="76" t="str">
        <x:v>RISK-026</x:v>
      </x:c>
      <x:c r="B27" s="37" t="str">
        <x:v>Salem Slide</x:v>
      </x:c>
      <x:c r="C27" s="37" t="str">
        <x:v>North Sikkim (source classification)</x:v>
      </x:c>
      <x:c r="D27" s="37" t="str">
        <x:v>Landslide</x:v>
      </x:c>
      <x:c r="E27" s="37" t="str">
        <x:v>Medium</x:v>
      </x:c>
      <x:c r="F27" s="37" t="str">
        <x:v>SSDMA records Salem as a recent debris-fall site in high-grade metamorphic/gneissic terrain. Forest damage is documented, with adverse geology, slope and rainfall listed as triggers; no specific return period is provided.</x:v>
      </x:c>
      <x:c r="G27" s="37" t="str">
        <x:v>Fresh soil/rock fragments; small debris falls; new scars on steep slopes; increased activity during or immediately after heavy rain.</x:v>
      </x:c>
      <x:c r="H27" s="37" t="str">
        <x:v>Avoid the base of active slopes; stay out of fresh debris zones; follow weather and local warnings; do not approach a slope while material is falling.</x:v>
      </x:c>
      <x:c r="I27" s="37" t="str">
        <x:v>Short-term risk may reduce after rainfall ends and the slope remains stable through inspection/observation. Long-term recurrence is not quantified in the official inventory.</x:v>
      </x:c>
      <x:c r="J27" s="37" t="str">
        <x:v>No route diversion is specified; use local authority guidance if nearby access is restricted.</x:v>
      </x:c>
      <x:c r="K27" s="37" t="str">
        <x:v>https://ssdma.nic.in/publications.html</x:v>
      </x:c>
      <x:c r="L27" s="37" t="str">
        <x:v>Inventory &amp; GIS Mapping of Landslides → search 'Salem Slide' (North Sikkim slide no. 5)</x:v>
      </x:c>
      <x:c r="M27" s="77" t="str">
        <x:v>Official SSDMA inventory: recent debris fall; forest damage; adverse geology/slope/rainfall triggers. Medium = project classification due to recorded forest-only impact in the inventory.</x:v>
      </x:c>
    </x:row>
    <x:row r="28">
      <x:c r="A28" s="76" t="str">
        <x:v>RISK-027</x:v>
      </x:c>
      <x:c r="B28" s="37" t="str">
        <x:v>Pakel Slide (Twin Slides)</x:v>
      </x:c>
      <x:c r="C28" s="37" t="str">
        <x:v>North Sikkim (source classification)</x:v>
      </x:c>
      <x:c r="D28" s="37" t="str">
        <x:v>Landslide</x:v>
      </x:c>
      <x:c r="E28" s="37" t="str">
        <x:v>Medium</x:v>
      </x:c>
      <x:c r="F28" s="37" t="str">
        <x:v>SSDMA identifies Pakel as recent twin debris-flow slides in high-grade gneiss/schist terrain. Steep slope, rainfall, groundwater activity and adverse geology are listed triggers. The recorded damage in the inventory is to forest.</x:v>
      </x:c>
      <x:c r="G28" s="37" t="str">
        <x:v>Debris channels becoming active; muddy flow; rock/soil fragments; seepage; fresh slope scars; increased movement after intense rain.</x:v>
      </x:c>
      <x:c r="H28" s="37" t="str">
        <x:v>Stay out of debris-flow channels and the base of unstable slopes; avoid crossing flowing debris; follow weather/local warnings and access restrictions.</x:v>
      </x:c>
      <x:c r="I28" s="37" t="str">
        <x:v>Immediate risk may reduce after rainfall and groundwater conditions subside and debris movement stops. The official inventory does not assign a return period.</x:v>
      </x:c>
      <x:c r="J28" s="37" t="str">
        <x:v>No alternate route is specified in the source; use local authority advice if access is affected.</x:v>
      </x:c>
      <x:c r="K28" s="37" t="str">
        <x:v>https://ssdma.nic.in/publications.html</x:v>
      </x:c>
      <x:c r="L28" s="37" t="str">
        <x:v>Inventory &amp; GIS Mapping of Landslides → search 'Pakel Slide (Twin Slides)' (North Sikkim slide no. 6)</x:v>
      </x:c>
      <x:c r="M28" s="77" t="str">
        <x:v>Official SSDMA inventory: recent debris flow; forest impact; steep slope/rainfall/groundwater/adverse geology triggers. Medium = project classification.</x:v>
      </x:c>
    </x:row>
    <x:row r="29">
      <x:c r="A29" s="76" t="str">
        <x:v>RISK-028</x:v>
      </x:c>
      <x:c r="B29" s="37" t="str">
        <x:v>Chawang Slide</x:v>
      </x:c>
      <x:c r="C29" s="37" t="str">
        <x:v>North Sikkim (source classification)</x:v>
      </x:c>
      <x:c r="D29" s="37" t="str">
        <x:v>Landslide / Settlement Risk</x:v>
      </x:c>
      <x:c r="E29" s="37" t="str">
        <x:v>High</x:v>
      </x:c>
      <x:c r="F29" s="37" t="str">
        <x:v>SSDMA records Chawang as a recent debris-flow site in Daling-group metamorphic rocks. Forest, settlement and agriculture are listed as damaged. Adverse geology, steep slope, rainwater and scouring by a nala are identified as triggers.</x:v>
      </x:c>
      <x:c r="G29" s="37" t="str">
        <x:v>Muddy or boulder-rich flow in/near the nala; bank erosion; new cracks; slope failures after rain; debris approaching settlement or fields.</x:v>
      </x:c>
      <x:c r="H29" s="37" t="str">
        <x:v>Move away from nala/debris-flow channels and unstable slopes; avoid crossings during heavy rain; follow local evacuation instructions and do not enter fresh debris deposits.</x:v>
      </x:c>
      <x:c r="I29" s="37" t="str">
        <x:v>Short-term risk may reduce after rainfall ends, nala flow/scouring decreases and the slope is inspected. The official inventory does not provide a fixed recurrence interval.</x:v>
      </x:c>
      <x:c r="J29" s="37" t="str">
        <x:v>Move to stable higher ground or a designated safe area if instructed; use only officially cleared access routes.</x:v>
      </x:c>
      <x:c r="K29" s="37" t="str">
        <x:v>https://ssdma.nic.in/publications.html</x:v>
      </x:c>
      <x:c r="L29" s="37" t="str">
        <x:v>Inventory &amp; GIS Mapping of Landslides → search 'Chawang Slide' (North Sikkim slide no. 8)</x:v>
      </x:c>
      <x:c r="M29" s="77" t="str">
        <x:v>Official SSDMA inventory: settlement/agriculture/forest damaged; steep slope, rainwater and nala scouring triggers. High = project classification.</x:v>
      </x:c>
    </x:row>
    <x:row r="30">
      <x:c r="A30" s="76" t="str">
        <x:v>RISK-029</x:v>
      </x:c>
      <x:c r="B30" s="37" t="str">
        <x:v>Meyong Slide</x:v>
      </x:c>
      <x:c r="C30" s="37" t="str">
        <x:v>North Sikkim (source classification)</x:v>
      </x:c>
      <x:c r="D30" s="37" t="str">
        <x:v>Landslide / Road Risk</x:v>
      </x:c>
      <x:c r="E30" s="37" t="str">
        <x:v>High</x:v>
      </x:c>
      <x:c r="F30" s="37" t="str">
        <x:v>SSDMA records Meyong as a recent, active wedge-failure site in highly jointed/fractured gneissic rock with quartzite. The road is listed as affected, and steep slope, excess water and vibration are identified as triggers.</x:v>
      </x:c>
      <x:c r="G30" s="37" t="str">
        <x:v>Rock wedges or boulders detaching; fresh fractures; debris on road; seepage; increased fall activity after rain or vibration.</x:v>
      </x:c>
      <x:c r="H30" s="37" t="str">
        <x:v>Keep away from fractured rock faces and road-side fall zones; obey closures; do not cross fresh debris; wait for official slope/road clearance.</x:v>
      </x:c>
      <x:c r="I30" s="37" t="str">
        <x:v>Immediate road risk may reduce after water conditions and rock movement stabilize and the road is cleared. SSDMA labels the site active, so continued susceptibility should be expected.</x:v>
      </x:c>
      <x:c r="J30" s="37" t="str">
        <x:v>Use only an authority-approved diversion/open road; no permanent alternate route is verified in the inventory.</x:v>
      </x:c>
      <x:c r="K30" s="37" t="str">
        <x:v>https://ssdma.nic.in/publications.html</x:v>
      </x:c>
      <x:c r="L30" s="37" t="str">
        <x:v>Inventory &amp; GIS Mapping of Landslides → search 'Meyong Slide' (North Sikkim slide no. 12)</x:v>
      </x:c>
      <x:c r="M30" s="77" t="str">
        <x:v>Official SSDMA inventory: active wedge failure; road affected; steep slope/fractured rock/excess water/vibration triggers. High = project classification.</x:v>
      </x:c>
    </x:row>
    <x:row r="31">
      <x:c r="A31" s="78" t="str">
        <x:v>RISK-030</x:v>
      </x:c>
      <x:c r="B31" s="79" t="str">
        <x:v>Richu Nala near Tong</x:v>
      </x:c>
      <x:c r="C31" s="79" t="str">
        <x:v>North Sikkim (source classification)</x:v>
      </x:c>
      <x:c r="D31" s="79" t="str">
        <x:v>Landslide / Road Risk</x:v>
      </x:c>
      <x:c r="E31" s="79" t="str">
        <x:v>High</x:v>
      </x:c>
      <x:c r="F31" s="79" t="str">
        <x:v>SSDMA identifies Richu Nala near Tong as a very old but active complex slide consisting of debris/soil with boulders. The road is listed as damaged; highly jointed rocks, overburden and scouring by active water are documented triggers.</x:v>
      </x:c>
      <x:c r="G31" s="79" t="str">
        <x:v>Nala-bank erosion; fresh debris/boulders; road blockage; new cracks; muddy flow; increased scouring and slope movement during high water.</x:v>
      </x:c>
      <x:c r="H31" s="79" t="str">
        <x:v>Avoid the active nala margin and slide path; do not cross fresh debris or fast water; obey road closures and use only sections inspected and reopened by authorities.</x:v>
      </x:c>
      <x:c r="I31" s="79" t="str">
        <x:v>Immediate travel risk may reduce after water/scouring activity falls and no new movement occurs, followed by road/slope inspection. SSDMA labels the site active, so recurrence remains possible.</x:v>
      </x:c>
      <x:c r="J31" s="79" t="str">
        <x:v>No site-specific alternate route is verified; follow authority-approved diversion or delay travel.</x:v>
      </x:c>
      <x:c r="K31" s="79" t="str">
        <x:v>https://ssdma.nic.in/publications.html</x:v>
      </x:c>
      <x:c r="L31" s="79" t="str">
        <x:v>Inventory &amp; GIS Mapping of Landslides → search 'Richu Nala near Tong' (North Sikkim slide no. 13)</x:v>
      </x:c>
      <x:c r="M31" s="80" t="str">
        <x:v>Official SSDMA inventory: active complex slide; road damage; jointed rocks/overburden/active-water scouring triggers. High = project classification.</x:v>
      </x:c>
    </x:row>
  </x:sheetData>
  <x:conditionalFormatting sqref="E2:E31">
    <x:cfRule type="expression" dxfId="0" priority="1">
      <x:formula>E2="High"</x:formula>
    </x:cfRule>
    <x:cfRule type="expression" dxfId="1" priority="2">
      <x:formula>E2="Medium"</x:formula>
    </x:cfRule>
    <x:cfRule type="expression" dxfId="2" priority="3">
      <x:formula>E2="Low"</x:formula>
    </x:cfRule>
  </x:conditionalFormatting>
  <x:dataValidations count="2">
    <x:dataValidation type="list" sqref="D2:D31">
      <x:formula1>"Flood,Landslide,Earthquake,Road Risk,Flood / GLOF,Flood / Road Risk,Landslide / Road Risk,Landslide / Rock-fall Risk,Landslide / Subsidence Risk,Landslide / Road &amp; Settlement Risk,Landslide / Settlement Risk"</x:formula1>
    </x:dataValidation>
    <x:dataValidation type="list" sqref="E2:E31">
      <x:formula1>"Low,Medium,High"</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20" hidden="0" customWidth="1"/>
    <x:col min="3" max="3" width="45" hidden="0" customWidth="1"/>
    <x:col min="4" max="4" width="28" hidden="0" customWidth="1"/>
  </x:cols>
  <x:sheetData>
    <x:row r="1">
      <x:c r="A1" s="16" t="str">
        <x:v>Bhudrishti AI — Abhay Day 1 Progress</x:v>
      </x:c>
      <x:c r="B1" s="16"/>
      <x:c r="C1" s="16"/>
      <x:c r="D1" s="16"/>
    </x:row>
    <x:row r="3">
      <x:c r="A3" s="30" t="str">
        <x:v>Metric</x:v>
      </x:c>
      <x:c r="B3" s="30" t="str">
        <x:v>Value</x:v>
      </x:c>
      <x:c r="C3" s="12"/>
      <x:c r="D3" s="12"/>
    </x:row>
    <x:row r="4">
      <x:c r="A4" s="12" t="str">
        <x:v>Completed Risk Cases</x:v>
      </x:c>
      <x:c r="B4" s="12" t="n">
        <x:f>COUNTA('Risk Research'!B2:B31)</x:f>
        <x:v>30</x:v>
      </x:c>
      <x:c r="C4" s="12"/>
      <x:c r="D4" s="12"/>
    </x:row>
    <x:row r="5">
      <x:c r="A5" s="12" t="str">
        <x:v>Target Risk Cases</x:v>
      </x:c>
      <x:c r="B5" s="12" t="n">
        <x:v>30</x:v>
      </x:c>
      <x:c r="C5" s="12"/>
      <x:c r="D5" s="12"/>
    </x:row>
    <x:row r="6">
      <x:c r="A6" s="12" t="str">
        <x:v>Research Progress</x:v>
      </x:c>
      <x:c r="B6" s="31" t="n">
        <x:f>B4/B5</x:f>
        <x:v>1</x:v>
      </x:c>
      <x:c r="C6" s="12"/>
      <x:c r="D6" s="12"/>
    </x:row>
    <x:row r="7">
      <x:c r="A7" s="12" t="str">
        <x:v>Current Status</x:v>
      </x:c>
      <x:c r="B7" s="12" t="str">
        <x:v>Day 1 — Research started</x:v>
      </x:c>
      <x:c r="C7" s="12"/>
      <x:c r="D7" s="12"/>
    </x:row>
    <x:row r="8">
      <x:c r="A8" s="12"/>
      <x:c r="B8" s="12"/>
      <x:c r="C8" s="12"/>
      <x:c r="D8" s="12"/>
    </x:row>
    <x:row r="9">
      <x:c r="A9" s="96" t="str">
        <x:v>Research Task</x:v>
      </x:c>
      <x:c r="B9" s="96" t="str">
        <x:v>Status</x:v>
      </x:c>
      <x:c r="C9" s="96" t="str">
        <x:v>Proof / Output</x:v>
      </x:c>
      <x:c r="D9" s="96" t="str">
        <x:v>Next</x:v>
      </x:c>
    </x:row>
    <x:row r="10">
      <x:c r="A10" s="12" t="str">
        <x:v>Risk cases 1–8</x:v>
      </x:c>
      <x:c r="B10" s="12" t="str">
        <x:v>Done</x:v>
      </x:c>
      <x:c r="C10" s="12" t="str">
        <x:v>Official-source format applied</x:v>
      </x:c>
      <x:c r="D10" s="12" t="str">
        <x:v>Completed</x:v>
      </x:c>
    </x:row>
    <x:row r="11">
      <x:c r="A11" s="12" t="str">
        <x:v>Risk cases 9–13</x:v>
      </x:c>
      <x:c r="B11" s="12" t="str">
        <x:v>Done</x:v>
      </x:c>
      <x:c r="C11" s="12" t="str">
        <x:v>Official-source format applied</x:v>
      </x:c>
      <x:c r="D11" s="12" t="str">
        <x:v>Completed</x:v>
      </x:c>
    </x:row>
    <x:row r="12">
      <x:c r="A12" s="12" t="str">
        <x:v>Risk cases 14–30</x:v>
      </x:c>
      <x:c r="B12" s="12" t="str">
        <x:v>Done</x:v>
      </x:c>
      <x:c r="C12" s="12" t="str">
        <x:v>17 additional well-described verified cases</x:v>
      </x:c>
      <x:c r="D12" s="12" t="str">
        <x:v>Completed</x:v>
      </x:c>
    </x:row>
    <x:row r="13">
      <x:c r="A13" s="12" t="str">
        <x:v>Official source verification</x:v>
      </x:c>
      <x:c r="B13" s="12" t="str">
        <x:v>Done</x:v>
      </x:c>
      <x:c r="C13" s="12" t="str">
        <x:v>Stable SSDMA pages + exact searchable document/section</x:v>
      </x:c>
      <x:c r="D13" s="12" t="str">
        <x:v>Keep with final submission</x:v>
      </x:c>
    </x:row>
    <x:row r="14">
      <x:c r="A14" s="12" t="str">
        <x:v>Completed Risk Cases</x:v>
      </x:c>
      <x:c r="B14" s="12" t="str">
        <x:v>30/30</x:v>
      </x:c>
      <x:c r="C14" s="12" t="str">
        <x:v>100% of research-case target</x:v>
      </x:c>
      <x:c r="D14" s="12" t="str">
        <x:v>Start Risk Analysis module</x:v>
      </x:c>
    </x:row>
    <x:row r="15">
      <x:c r="A15" s="12" t="str">
        <x:v>Risk Research file</x:v>
      </x:c>
      <x:c r="B15" s="12" t="str">
        <x:v>Final research base</x:v>
      </x:c>
      <x:c r="C15" s="12" t="str">
        <x:v>30 completed rows</x:v>
      </x:c>
      <x:c r="D15" s="12" t="str">
        <x:v>Use as Risk Analysis dataset</x:v>
      </x:c>
    </x:row>
    <x:row r="16">
      <x:c r="A16" s="12" t="str">
        <x:v>Methodology</x:v>
      </x:c>
      <x:c r="B16" s="12" t="str">
        <x:v>Added</x:v>
      </x:c>
      <x:c r="C16" s="12" t="str">
        <x:v>Risk-level and source methodology documented</x:v>
      </x:c>
      <x:c r="D16" s="12" t="str">
        <x:v>Explain if judge asks</x:v>
      </x:c>
    </x:row>
    <x:row r="17">
      <x:c r="A17" s="12" t="str">
        <x:v>Source Verification</x:v>
      </x:c>
      <x:c r="B17" s="12" t="str">
        <x:v>Updated</x:v>
      </x:c>
      <x:c r="C17" s="12" t="str">
        <x:v>All cases traceable to official SSDMA pages</x:v>
      </x:c>
      <x:c r="D17" s="12" t="str">
        <x:v>Team leader can verify</x:v>
      </x:c>
    </x:row>
    <x:row r="18">
      <x:c r="A18" s="12" t="str">
        <x:v>Next Work</x:v>
      </x:c>
      <x:c r="B18" s="12" t="str">
        <x:v>Pending</x:v>
      </x:c>
      <x:c r="C18" s="12" t="str">
        <x:v>Risk Analysis module development</x:v>
      </x:c>
      <x:c r="D18" s="12" t="str">
        <x:v>Location select + score + reason + safety + recovery + route</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40" hidden="0" customWidth="1"/>
    <x:col min="3" max="3" width="36" hidden="0" customWidth="1"/>
    <x:col min="4" max="4" width="56" hidden="0" customWidth="1"/>
    <x:col min="5" max="5" width="42" hidden="0" customWidth="1"/>
  </x:cols>
  <x:sheetData>
    <x:row r="1">
      <x:c r="A1" s="52" t="str">
        <x:v>Bhudrishti AI — Official Source Verification Guide</x:v>
      </x:c>
      <x:c r="B1" s="52"/>
      <x:c r="C1" s="52"/>
      <x:c r="D1" s="52"/>
      <x:c r="E1" s="52"/>
    </x:row>
    <x:row r="3">
      <x:c r="A3" s="57" t="str">
        <x:v>Source ID</x:v>
      </x:c>
      <x:c r="B3" s="57" t="str">
        <x:v>Official Organisation</x:v>
      </x:c>
      <x:c r="C3" s="57" t="str">
        <x:v>Stable Page URL</x:v>
      </x:c>
      <x:c r="D3" s="57" t="str">
        <x:v>What to Open / Search</x:v>
      </x:c>
      <x:c r="E3" s="57" t="str">
        <x:v>Used For</x:v>
      </x:c>
    </x:row>
    <x:row r="4">
      <x:c r="A4" s="12" t="str">
        <x:v>SRC-01</x:v>
      </x:c>
      <x:c r="B4" s="12" t="str">
        <x:v>Sikkim State Disaster Management Authority (SSDMA), Govt. of Sikkim</x:v>
      </x:c>
      <x:c r="C4" s="12" t="str">
        <x:v>https://ssdma.nic.in/publications.html</x:v>
      </x:c>
      <x:c r="D4" s="12" t="str">
        <x:v>Open 'Inventory &amp; GIS Mapping of Landslides'. Search the exact slide/location name inside the document.</x:v>
      </x:c>
      <x:c r="E4" s="12" t="str">
        <x:v>7th Mile Gangtok–Tsomgo; Jitlang Rangpo; Lower Tintek Marchak; 2nd Mile Kumrek</x:v>
      </x:c>
    </x:row>
    <x:row r="5">
      <x:c r="A5" s="12" t="str">
        <x:v>SRC-02</x:v>
      </x:c>
      <x:c r="B5" s="12" t="str">
        <x:v>Sikkim State Disaster Management Authority (SSDMA), Govt. of Sikkim</x:v>
      </x:c>
      <x:c r="C5" s="12" t="str">
        <x:v>https://ssdma.nic.in/resources.html</x:v>
      </x:c>
      <x:c r="D5" s="12" t="str">
        <x:v>Open 'PDNA' → SIKKIM PDNA. Check 2023 South Lhonak GLOF and Chungthang/Teesta impact sections.</x:v>
      </x:c>
      <x:c r="E5" s="12" t="str">
        <x:v>Chungthang; South Lhonak historic GLOF impact</x:v>
      </x:c>
    </x:row>
    <x:row r="6">
      <x:c r="A6" s="12" t="str">
        <x:v>SRC-03</x:v>
      </x:c>
      <x:c r="B6" s="12" t="str">
        <x:v>Sikkim State Disaster Management Authority (SSDMA), Govt. of Sikkim</x:v>
      </x:c>
      <x:c r="C6" s="12" t="str">
        <x:v>https://ssdma.nic.in/activities.html</x:v>
      </x:c>
      <x:c r="D6" s="12" t="str">
        <x:v>Check 'Pilot Project for Landslide Mitigation at Mangan (SNT Site)'.</x:v>
      </x:c>
      <x:c r="E6" s="12" t="str">
        <x:v>Mangan Town</x:v>
      </x:c>
    </x:row>
    <x:row r="7">
      <x:c r="A7" s="12" t="str">
        <x:v>SRC-04</x:v>
      </x:c>
      <x:c r="B7" s="12" t="str">
        <x:v>Sikkim State Disaster Management Authority (SSDMA), Govt. of Sikkim</x:v>
      </x:c>
      <x:c r="C7" s="12" t="str">
        <x:v>https://ssdma.nic.in/activities.html</x:v>
      </x:c>
      <x:c r="D7" s="12" t="str">
        <x:v>Check 'Real-Time Landslide Early Warning System – Chandmari, Gangtok' and South Lhonak GLOF monitoring section.</x:v>
      </x:c>
      <x:c r="E7" s="12" t="str">
        <x:v>Chandmari; South Lhonak monitoring</x:v>
      </x:c>
    </x:row>
    <x:row r="9">
      <x:c r="A9" s="61" t="str">
        <x:v>How to Verify</x:v>
      </x:c>
      <x:c r="B9" s="12"/>
      <x:c r="C9" s="12"/>
      <x:c r="D9" s="12"/>
      <x:c r="E9" s="12"/>
    </x:row>
    <x:row r="10">
      <x:c r="A10" s="12" t="str">
        <x:v>1</x:v>
      </x:c>
      <x:c r="B10" s="12" t="str">
        <x:v>Copy the stable page URL from the Risk Research sheet.</x:v>
      </x:c>
      <x:c r="C10" s="12"/>
      <x:c r="D10" s="12"/>
      <x:c r="E10" s="12"/>
    </x:row>
    <x:row r="11">
      <x:c r="A11" s="12" t="str">
        <x:v>2</x:v>
      </x:c>
      <x:c r="B11" s="12" t="str">
        <x:v>Open the named document/section written next to the URL.</x:v>
      </x:c>
      <x:c r="C11" s="12"/>
      <x:c r="D11" s="12"/>
      <x:c r="E11" s="12"/>
    </x:row>
    <x:row r="12">
      <x:c r="A12" s="12" t="str">
        <x:v>3</x:v>
      </x:c>
      <x:c r="B12" s="12" t="str">
        <x:v>For landslide inventory cases, search the exact location name in 'Inventory &amp; GIS Mapping of Landslides'.</x:v>
      </x:c>
      <x:c r="C12" s="12"/>
      <x:c r="D12" s="12"/>
      <x:c r="E12" s="12"/>
    </x:row>
    <x:row r="13">
      <x:c r="A13" s="12" t="str">
        <x:v>SRC-05</x:v>
      </x:c>
      <x:c r="B13" s="12" t="str">
        <x:v>Sikkim State Disaster Management Authority (SSDMA), Govt. of Sikkim</x:v>
      </x:c>
      <x:c r="C13" s="12" t="str">
        <x:v>https://ssdma.nic.in/publications.html</x:v>
      </x:c>
      <x:c r="D13" s="12" t="str">
        <x:v>Open 'Inventory &amp; GIS Mapping of Landslides'. Search '13th Mile Slide', '14th Mile Slide' and 'Kyongsla Slide'.</x:v>
      </x:c>
      <x:c r="E13" s="12" t="str">
        <x:v>RISK-009, RISK-010, RISK-011</x:v>
      </x:c>
    </x:row>
    <x:row r="14">
      <x:c r="A14" s="12" t="str">
        <x:v>SRC-06</x:v>
      </x:c>
      <x:c r="B14" s="12" t="str">
        <x:v>Sikkim State Disaster Management Authority (SSDMA), Govt. of Sikkim</x:v>
      </x:c>
      <x:c r="C14" s="12" t="str">
        <x:v>https://ssdma.nic.in/notifications.html</x:v>
      </x:c>
      <x:c r="D14" s="12" t="str">
        <x:v>Open 'Sikkim GLOF Post Disaster Needs Assessment (PDNA) 2023' and search 'Singtam' and 'Rangpo'.</x:v>
      </x:c>
      <x:c r="E14" s="12" t="str">
        <x:v>RISK-012, RISK-013</x:v>
      </x:c>
    </x:row>
    <x:row r="15">
      <x:c r="A15" s="12" t="str">
        <x:v>Verification Tip</x:v>
      </x:c>
      <x:c r="B15" s="12" t="str">
        <x:v>For the 2023 flood cases, SSDMA also issued the official 'Report on Extent of Damage due to Cloudburst Induced Flooding in the Teesta Basin as on 16.00 Hrs. 19th October 2023'.</x:v>
      </x:c>
      <x:c r="C15" s="12" t="str">
        <x:v>https://ssdma.nic.in/</x:v>
      </x:c>
      <x:c r="D15" s="12" t="str">
        <x:v>Use the exact report title on the SSDMA site if an old direct PDF path changes.</x:v>
      </x:c>
      <x:c r="E15" s="12" t="str">
        <x:v>Supports Singtam and Rangpo infrastructure-damage details</x:v>
      </x:c>
    </x:row>
    <x:row r="16">
      <x:c r="A16" s="12" t="str">
        <x:v>SRC-14</x:v>
      </x:c>
      <x:c r="B16" s="12" t="str">
        <x:v>Sikkim State Disaster Management Authority (SSDMA), Govt. of Sikkim</x:v>
      </x:c>
      <x:c r="C16" s="12" t="str">
        <x:v>https://ssdma.nic.in/publications.html</x:v>
      </x:c>
      <x:c r="D16" s="12" t="str">
        <x:v>search 'Bordang Slide on Rangpo–Singtam Road' (East Sikkim slide no. 3)</x:v>
      </x:c>
      <x:c r="E16" s="12" t="str">
        <x:v>RISK-014 — Bordang Slide on Rangpo–Singtam Road</x:v>
      </x:c>
    </x:row>
    <x:row r="17">
      <x:c r="A17" s="12" t="str">
        <x:v>SRC-15</x:v>
      </x:c>
      <x:c r="B17" s="12" t="str">
        <x:v>Sikkim State Disaster Management Authority (SSDMA), Govt. of Sikkim</x:v>
      </x:c>
      <x:c r="C17" s="12" t="str">
        <x:v>https://ssdma.nic.in/publications.html</x:v>
      </x:c>
      <x:c r="D17" s="12" t="str">
        <x:v>search 'Gantey, West Pendam along-Singtam-Pendam Road' (East Sikkim slide no. 5)</x:v>
      </x:c>
      <x:c r="E17" s="12" t="str">
        <x:v>RISK-015 — Gantey, West Pendam (Singtam–Pendam Road)</x:v>
      </x:c>
    </x:row>
    <x:row r="18">
      <x:c r="A18" s="12" t="str">
        <x:v>SRC-16</x:v>
      </x:c>
      <x:c r="B18" s="12" t="str">
        <x:v>Sikkim State Disaster Management Authority (SSDMA), Govt. of Sikkim</x:v>
      </x:c>
      <x:c r="C18" s="12" t="str">
        <x:v>https://ssdma.nic.in/publications.html</x:v>
      </x:c>
      <x:c r="D18" s="12" t="str">
        <x:v>search 'Padamchen Slide' (East Sikkim slide no. 12)</x:v>
      </x:c>
      <x:c r="E18" s="12" t="str">
        <x:v>RISK-016 — Padamchen Slide</x:v>
      </x:c>
    </x:row>
    <x:row r="19">
      <x:c r="A19" s="12" t="str">
        <x:v>SRC-17</x:v>
      </x:c>
      <x:c r="B19" s="12" t="str">
        <x:v>Sikkim State Disaster Management Authority (SSDMA), Govt. of Sikkim</x:v>
      </x:c>
      <x:c r="C19" s="12" t="str">
        <x:v>https://ssdma.nic.in/publications.html</x:v>
      </x:c>
      <x:c r="D19" s="12" t="str">
        <x:v>search 'Namcheybong Slide' (East Sikkim slide no. 25)</x:v>
      </x:c>
      <x:c r="E19" s="12" t="str">
        <x:v>RISK-017 — Namcheybong Slide</x:v>
      </x:c>
    </x:row>
    <x:row r="20">
      <x:c r="A20" s="12" t="str">
        <x:v>SRC-18</x:v>
      </x:c>
      <x:c r="B20" s="12" t="str">
        <x:v>Sikkim State Disaster Management Authority (SSDMA), Govt. of Sikkim</x:v>
      </x:c>
      <x:c r="C20" s="12" t="str">
        <x:v>https://ssdma.nic.in/publications.html</x:v>
      </x:c>
      <x:c r="D20" s="12" t="str">
        <x:v>search 'Pegay Slide, Pachey, Pakyong-Linkey Road' (East Sikkim slide no. 26)</x:v>
      </x:c>
      <x:c r="E20" s="12" t="str">
        <x:v>RISK-018 — Pegay Slide, Pachey (Pakyong–Linkey Road)</x:v>
      </x:c>
    </x:row>
    <x:row r="21">
      <x:c r="A21" s="12" t="str">
        <x:v>SRC-19</x:v>
      </x:c>
      <x:c r="B21" s="12" t="str">
        <x:v>Sikkim State Disaster Management Authority (SSDMA), Govt. of Sikkim</x:v>
      </x:c>
      <x:c r="C21" s="12" t="str">
        <x:v>https://ssdma.nic.in/publications.html</x:v>
      </x:c>
      <x:c r="D21" s="12" t="str">
        <x:v>search 'Rangchang Khola Slide (Tumin)' (East Sikkim slide no. 27)</x:v>
      </x:c>
      <x:c r="E21" s="12" t="str">
        <x:v>RISK-019 — Rangchang Khola Slide, Tumin</x:v>
      </x:c>
    </x:row>
    <x:row r="22">
      <x:c r="A22" s="12" t="str">
        <x:v>SRC-20</x:v>
      </x:c>
      <x:c r="B22" s="12" t="str">
        <x:v>Sikkim State Disaster Management Authority (SSDMA), Govt. of Sikkim</x:v>
      </x:c>
      <x:c r="C22" s="12" t="str">
        <x:v>https://ssdma.nic.in/publications.html</x:v>
      </x:c>
      <x:c r="D22" s="12" t="str">
        <x:v>search 'Tsochen–Pheri Slide' (East Sikkim slide no. 28)</x:v>
      </x:c>
      <x:c r="E22" s="12" t="str">
        <x:v>RISK-020 — Tsochen–Pheri Slide</x:v>
      </x:c>
    </x:row>
    <x:row r="23">
      <x:c r="A23" s="12" t="str">
        <x:v>SRC-21</x:v>
      </x:c>
      <x:c r="B23" s="12" t="str">
        <x:v>Sikkim State Disaster Management Authority (SSDMA), Govt. of Sikkim</x:v>
      </x:c>
      <x:c r="C23" s="12" t="str">
        <x:v>https://ssdma.nic.in/publications.html</x:v>
      </x:c>
      <x:c r="D23" s="12" t="str">
        <x:v>search 'Zang Busty Subsidence (Near Dikchu)' (East Sikkim slide no. 29)</x:v>
      </x:c>
      <x:c r="E23" s="12" t="str">
        <x:v>RISK-021 — Zang Busty Subsidence, near Dikchu</x:v>
      </x:c>
    </x:row>
    <x:row r="24">
      <x:c r="A24" s="12" t="str">
        <x:v>SRC-22</x:v>
      </x:c>
      <x:c r="B24" s="12" t="str">
        <x:v>Sikkim State Disaster Management Authority (SSDMA), Govt. of Sikkim</x:v>
      </x:c>
      <x:c r="C24" s="12" t="str">
        <x:v>https://ssdma.nic.in/publications.html</x:v>
      </x:c>
      <x:c r="D24" s="12" t="str">
        <x:v>search 'Canteen Dara, Sawa Khola near Rongli Bridge' (East Sikkim slide no. 32)</x:v>
      </x:c>
      <x:c r="E24" s="12" t="str">
        <x:v>RISK-022 — Canteen Dara, Sawa Khola near Rongli Bridge</x:v>
      </x:c>
    </x:row>
    <x:row r="25">
      <x:c r="A25" s="12" t="str">
        <x:v>SRC-23</x:v>
      </x:c>
      <x:c r="B25" s="12" t="str">
        <x:v>Sikkim State Disaster Management Authority (SSDMA), Govt. of Sikkim</x:v>
      </x:c>
      <x:c r="C25" s="12" t="str">
        <x:v>https://ssdma.nic.in/publications.html</x:v>
      </x:c>
      <x:c r="D25" s="12" t="str">
        <x:v>search 'Bhutia Khola, Dalapchand, Regle' (East Sikkim slide no. 34)</x:v>
      </x:c>
      <x:c r="E25" s="12" t="str">
        <x:v>RISK-023 — Bhutia Khola, Dalapchand–Regle</x:v>
      </x:c>
    </x:row>
    <x:row r="26">
      <x:c r="A26" s="12" t="str">
        <x:v>SRC-24</x:v>
      </x:c>
      <x:c r="B26" s="12" t="str">
        <x:v>Sikkim State Disaster Management Authority (SSDMA), Govt. of Sikkim</x:v>
      </x:c>
      <x:c r="C26" s="12" t="str">
        <x:v>https://ssdma.nic.in/publications.html</x:v>
      </x:c>
      <x:c r="D26" s="12" t="str">
        <x:v>search 'Doksing on Rhenock–Rongli Road' (East Sikkim slide no. 35)</x:v>
      </x:c>
      <x:c r="E26" s="12" t="str">
        <x:v>RISK-024 — Doksing on Rhenock–Rongli Road</x:v>
      </x:c>
    </x:row>
    <x:row r="27">
      <x:c r="A27" s="12" t="str">
        <x:v>SRC-25</x:v>
      </x:c>
      <x:c r="B27" s="12" t="str">
        <x:v>Sikkim State Disaster Management Authority (SSDMA), Govt. of Sikkim</x:v>
      </x:c>
      <x:c r="C27" s="12" t="str">
        <x:v>https://ssdma.nic.in/publications.html</x:v>
      </x:c>
      <x:c r="D27" s="12" t="str">
        <x:v>search 'Mangshila Slide' (North Sikkim slide no. 3)</x:v>
      </x:c>
      <x:c r="E27" s="12" t="str">
        <x:v>RISK-025 — Mangshila Slide</x:v>
      </x:c>
    </x:row>
    <x:row r="28">
      <x:c r="A28" s="12" t="str">
        <x:v>SRC-26</x:v>
      </x:c>
      <x:c r="B28" s="12" t="str">
        <x:v>Sikkim State Disaster Management Authority (SSDMA), Govt. of Sikkim</x:v>
      </x:c>
      <x:c r="C28" s="12" t="str">
        <x:v>https://ssdma.nic.in/publications.html</x:v>
      </x:c>
      <x:c r="D28" s="12" t="str">
        <x:v>search 'Salem Slide' (North Sikkim slide no. 5)</x:v>
      </x:c>
      <x:c r="E28" s="12" t="str">
        <x:v>RISK-026 — Salem Slide</x:v>
      </x:c>
    </x:row>
    <x:row r="29">
      <x:c r="A29" s="12" t="str">
        <x:v>SRC-27</x:v>
      </x:c>
      <x:c r="B29" s="12" t="str">
        <x:v>Sikkim State Disaster Management Authority (SSDMA), Govt. of Sikkim</x:v>
      </x:c>
      <x:c r="C29" s="12" t="str">
        <x:v>https://ssdma.nic.in/publications.html</x:v>
      </x:c>
      <x:c r="D29" s="12" t="str">
        <x:v>search 'Pakel Slide (Twin Slides)' (North Sikkim slide no. 6)</x:v>
      </x:c>
      <x:c r="E29" s="12" t="str">
        <x:v>RISK-027 — Pakel Slide (Twin Slides)</x:v>
      </x:c>
    </x:row>
    <x:row r="30">
      <x:c r="A30" s="12" t="str">
        <x:v>SRC-28</x:v>
      </x:c>
      <x:c r="B30" s="12" t="str">
        <x:v>Sikkim State Disaster Management Authority (SSDMA), Govt. of Sikkim</x:v>
      </x:c>
      <x:c r="C30" s="12" t="str">
        <x:v>https://ssdma.nic.in/publications.html</x:v>
      </x:c>
      <x:c r="D30" s="12" t="str">
        <x:v>search 'Chawang Slide' (North Sikkim slide no. 8)</x:v>
      </x:c>
      <x:c r="E30" s="12" t="str">
        <x:v>RISK-028 — Chawang Slide</x:v>
      </x:c>
    </x:row>
    <x:row r="31">
      <x:c r="A31" s="12" t="str">
        <x:v>SRC-29</x:v>
      </x:c>
      <x:c r="B31" s="12" t="str">
        <x:v>Sikkim State Disaster Management Authority (SSDMA), Govt. of Sikkim</x:v>
      </x:c>
      <x:c r="C31" s="12" t="str">
        <x:v>https://ssdma.nic.in/publications.html</x:v>
      </x:c>
      <x:c r="D31" s="12" t="str">
        <x:v>search 'Meyong Slide' (North Sikkim slide no. 12)</x:v>
      </x:c>
      <x:c r="E31" s="12" t="str">
        <x:v>RISK-029 — Meyong Slide</x:v>
      </x:c>
    </x:row>
    <x:row r="32">
      <x:c r="A32" s="12" t="str">
        <x:v>SRC-30</x:v>
      </x:c>
      <x:c r="B32" s="12" t="str">
        <x:v>Sikkim State Disaster Management Authority (SSDMA), Govt. of Sikkim</x:v>
      </x:c>
      <x:c r="C32" s="12" t="str">
        <x:v>https://ssdma.nic.in/publications.html</x:v>
      </x:c>
      <x:c r="D32" s="12" t="str">
        <x:v>search 'Richu Nala near Tong' (North Sikkim slide no. 13)</x:v>
      </x:c>
      <x:c r="E32" s="12" t="str">
        <x:v>RISK-030 — Richu Nala near Tong</x:v>
      </x:c>
    </x:row>
  </x:sheetData>
  <x:mergeCells>
    <x:mergeCell ref="A1:E1"/>
    <x:mergeCell ref="A9:E9"/>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42" hidden="0" customWidth="1"/>
    <x:col min="3" max="3" width="48" hidden="0" customWidth="1"/>
    <x:col min="4" max="4" width="48" hidden="0" customWidth="1"/>
    <x:col min="5" max="5" width="38" hidden="0" customWidth="1"/>
  </x:cols>
  <x:sheetData>
    <x:row r="1">
      <x:c r="A1" s="84" t="str">
        <x:v>Bhudrishti AI — Risk Research Methodology</x:v>
      </x:c>
      <x:c r="B1" s="84"/>
      <x:c r="C1" s="84"/>
      <x:c r="D1" s="84"/>
      <x:c r="E1" s="84"/>
    </x:row>
    <x:row r="3">
      <x:c r="A3" s="88" t="str">
        <x:v>Item</x:v>
      </x:c>
      <x:c r="B3" s="88" t="str">
        <x:v>Method Used</x:v>
      </x:c>
      <x:c r="C3" s="88" t="str">
        <x:v>Meaning in This Dataset</x:v>
      </x:c>
      <x:c r="D3" s="88" t="str">
        <x:v>Important Limitation</x:v>
      </x:c>
      <x:c r="E3" s="88" t="str">
        <x:v>Verification</x:v>
      </x:c>
    </x:row>
    <x:row r="4">
      <x:c r="A4" s="12" t="str">
        <x:v>Risk Level</x:v>
      </x:c>
      <x:c r="B4" s="12" t="str">
        <x:v>Project classification using official evidence of recurrence/activity + recorded impact</x:v>
      </x:c>
      <x:c r="C4" s="12" t="str">
        <x:v>High = active/perennial or major road/settlement impact; Medium = limited recorded impact or recent event without major settlement/road damage</x:v>
      </x:c>
      <x:c r="D4" s="12" t="str">
        <x:v>This is NOT a current government alert level.</x:v>
      </x:c>
      <x:c r="E4" s="12" t="str">
        <x:v>Check each row's SSDMA source.</x:v>
      </x:c>
    </x:row>
    <x:row r="5">
      <x:c r="A5" s="12" t="str">
        <x:v>Risk Reason</x:v>
      </x:c>
      <x:c r="B5" s="12" t="str">
        <x:v>Summarized from official SSDMA site facts</x:v>
      </x:c>
      <x:c r="C5" s="12" t="str">
        <x:v>Geology, water, slope, recorded damage and activity/return-period information</x:v>
      </x:c>
      <x:c r="D5" s="12" t="str">
        <x:v>Wording is simplified for the Bhudrishti dataset.</x:v>
      </x:c>
      <x:c r="E5" s="12" t="str">
        <x:v>Search exact slide/location name in the cited document.</x:v>
      </x:c>
    </x:row>
    <x:row r="6">
      <x:c r="A6" s="12" t="str">
        <x:v>Warning Signs</x:v>
      </x:c>
      <x:c r="B6" s="12" t="str">
        <x:v>Safety-oriented indicators inferred from the documented hazard type</x:v>
      </x:c>
      <x:c r="C6" s="12" t="str">
        <x:v>Examples: cracks, seepage, debris, rock fall, road deformation</x:v>
      </x:c>
      <x:c r="D6" s="12" t="str">
        <x:v>Not all warning signs are site-specific sensor readings.</x:v>
      </x:c>
      <x:c r="E6" s="12" t="str">
        <x:v>Use live official alerts for real-world decisions.</x:v>
      </x:c>
    </x:row>
    <x:row r="7">
      <x:c r="A7" s="12" t="str">
        <x:v>Approx. Risk Reduction</x:v>
      </x:c>
      <x:c r="B7" s="12" t="str">
        <x:v>Condition-based, not a fixed invented time</x:v>
      </x:c>
      <x:c r="C7" s="12" t="str">
        <x:v>Risk may reduce after rainfall/water/movement subsides AND official inspection/clearance</x:v>
      </x:c>
      <x:c r="D7" s="12" t="str">
        <x:v>Perennial/active sites can remain susceptible even after an event ends.</x:v>
      </x:c>
      <x:c r="E7" s="12" t="str">
        <x:v>No row should be treated as a live all-clear.</x:v>
      </x:c>
    </x:row>
    <x:row r="8">
      <x:c r="A8" s="12" t="str">
        <x:v>Alternative Route / Safe Location</x:v>
      </x:c>
      <x:c r="B8" s="12" t="str">
        <x:v>Only named when verified; otherwise authority-approved diversion is stated</x:v>
      </x:c>
      <x:c r="C8" s="12" t="str">
        <x:v>Avoids inventing unsafe route names</x:v>
      </x:c>
      <x:c r="D8" s="12" t="str">
        <x:v>Availability can change after a disaster.</x:v>
      </x:c>
      <x:c r="E8" s="12" t="str">
        <x:v>Check local authority/traffic advisories.</x:v>
      </x:c>
    </x:row>
    <x:row r="10">
      <x:c r="A10" s="92" t="str">
        <x:v>Official Source Set</x:v>
      </x:c>
      <x:c r="B10" s="92" t="str">
        <x:v>Organisation</x:v>
      </x:c>
      <x:c r="C10" s="92" t="str">
        <x:v>Stable URL</x:v>
      </x:c>
      <x:c r="D10" s="92" t="str">
        <x:v>Document / Section</x:v>
      </x:c>
      <x:c r="E10" s="92" t="str">
        <x:v>Purpose</x:v>
      </x:c>
    </x:row>
    <x:row r="11">
      <x:c r="A11" s="12" t="str">
        <x:v>Landslide Inventory</x:v>
      </x:c>
      <x:c r="B11" s="12" t="str">
        <x:v>SSDMA, Government of Sikkim</x:v>
      </x:c>
      <x:c r="C11" s="12" t="str">
        <x:v>https://ssdma.nic.in/publications.html</x:v>
      </x:c>
      <x:c r="D11" s="12" t="str">
        <x:v>Inventory &amp; GIS Mapping of Landslides</x:v>
      </x:c>
      <x:c r="E11" s="12" t="str">
        <x:v>Site-specific landslide geology, type, damage, triggers and return/activity information</x:v>
      </x:c>
    </x:row>
    <x:row r="12">
      <x:c r="A12" s="12" t="str">
        <x:v>2023 GLOF / Flood</x:v>
      </x:c>
      <x:c r="B12" s="12" t="str">
        <x:v>SSDMA, Government of Sikkim</x:v>
      </x:c>
      <x:c r="C12" s="12" t="str">
        <x:v>https://ssdma.nic.in/notifications.html</x:v>
      </x:c>
      <x:c r="D12" s="12" t="str">
        <x:v>Sikkim GLOF Post Disaster Needs Assessment (PDNA) 2023</x:v>
      </x:c>
      <x:c r="E12" s="12" t="str">
        <x:v>Chungthang, Singtam, Rangpo and Teesta-basin impact evidence</x:v>
      </x:c>
    </x:row>
    <x:row r="13">
      <x:c r="A13" s="12" t="str">
        <x:v>Monitoring / Mitigation</x:v>
      </x:c>
      <x:c r="B13" s="12" t="str">
        <x:v>SSDMA, Government of Sikkim</x:v>
      </x:c>
      <x:c r="C13" s="12" t="str">
        <x:v>https://ssdma.nic.in/activities.html</x:v>
      </x:c>
      <x:c r="D13" s="12" t="str">
        <x:v>Chandmari early warning; Mangan mitigation; South Lhonak monitoring</x:v>
      </x:c>
      <x:c r="E13" s="12" t="str">
        <x:v>Official monitoring/mitigation evidence</x:v>
      </x:c>
    </x:row>
  </x:sheetData>
  <x:mergeCells>
    <x:mergeCell ref="A1:E1"/>
  </x:mergeCells>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16" hidden="0" customWidth="1"/>
    <x:col min="4" max="4" width="36" hidden="0" customWidth="1"/>
    <x:col min="5" max="5" width="14" hidden="0" customWidth="1"/>
  </x:cols>
  <x:sheetData>
    <x:row r="1">
      <x:c r="A1" s="95" t="str">
        <x:v>Bhudrishti AI — Risk Research Summary (30/30)</x:v>
      </x:c>
      <x:c r="B1" s="95"/>
      <x:c r="C1" s="95"/>
      <x:c r="D1" s="95"/>
      <x:c r="E1" s="95"/>
      <x:c r="F1" s="95"/>
    </x:row>
    <x:row r="3">
      <x:c r="A3" s="88" t="str">
        <x:v>KPI</x:v>
      </x:c>
      <x:c r="B3" s="88" t="str">
        <x:v>Value</x:v>
      </x:c>
      <x:c r="C3" s="12"/>
      <x:c r="D3" s="92" t="str">
        <x:v>Risk Category</x:v>
      </x:c>
      <x:c r="E3" s="92" t="str">
        <x:v>Cases</x:v>
      </x:c>
    </x:row>
    <x:row r="4">
      <x:c r="A4" s="12" t="str">
        <x:v>Completed Cases</x:v>
      </x:c>
      <x:c r="B4" s="12" t="n">
        <x:f>COUNTA('Risk Research'!B2:B31)</x:f>
        <x:v>30</x:v>
      </x:c>
      <x:c r="C4" s="12"/>
      <x:c r="D4" s="12" t="str">
        <x:v>Flood / GLOF</x:v>
      </x:c>
      <x:c r="E4" s="12" t="n">
        <x:f>COUNTIF('Risk Research'!D2:D31,"Flood / GLOF")</x:f>
        <x:v>2</x:v>
      </x:c>
    </x:row>
    <x:row r="5">
      <x:c r="A5" s="12" t="str">
        <x:v>Target Cases</x:v>
      </x:c>
      <x:c r="B5" s="12" t="n">
        <x:v>30</x:v>
      </x:c>
      <x:c r="C5" s="12"/>
      <x:c r="D5" s="12" t="str">
        <x:v>Flood / Road Risk</x:v>
      </x:c>
      <x:c r="E5" s="12" t="n">
        <x:f>COUNTIF('Risk Research'!D2:D31,"Flood / Road Risk")</x:f>
        <x:v>2</x:v>
      </x:c>
    </x:row>
    <x:row r="6">
      <x:c r="A6" s="12" t="str">
        <x:v>Completion</x:v>
      </x:c>
      <x:c r="B6" s="31" t="n">
        <x:f>B4/B5</x:f>
        <x:v>1</x:v>
      </x:c>
      <x:c r="C6" s="12"/>
      <x:c r="D6" s="12" t="str">
        <x:v>Landslide</x:v>
      </x:c>
      <x:c r="E6" s="12" t="n">
        <x:f>COUNTIF('Risk Research'!D2:D31,"Landslide")</x:f>
        <x:v>4</x:v>
      </x:c>
    </x:row>
    <x:row r="7">
      <x:c r="A7" s="12" t="str">
        <x:v>High Risk Cases</x:v>
      </x:c>
      <x:c r="B7" s="12" t="n">
        <x:f>COUNTIF('Risk Research'!E2:E31,"High")</x:f>
        <x:v>27</x:v>
      </x:c>
      <x:c r="C7" s="12"/>
      <x:c r="D7" s="12" t="str">
        <x:v>Landslide / Road Risk</x:v>
      </x:c>
      <x:c r="E7" s="12" t="n">
        <x:f>COUNTIF('Risk Research'!D2:D31,"Landslide / Road Risk")</x:f>
        <x:v>18</x:v>
      </x:c>
    </x:row>
    <x:row r="8">
      <x:c r="A8" s="12" t="str">
        <x:v>Medium Risk Cases</x:v>
      </x:c>
      <x:c r="B8" s="12" t="n">
        <x:f>COUNTIF('Risk Research'!E2:E31,"Medium")</x:f>
        <x:v>3</x:v>
      </x:c>
      <x:c r="C8" s="12"/>
      <x:c r="D8" s="12" t="str">
        <x:v>Landslide / Rock-fall Risk</x:v>
      </x:c>
      <x:c r="E8" s="12" t="n">
        <x:f>COUNTIF('Risk Research'!D2:D31,"Landslide / Rock-fall Risk")</x:f>
        <x:v>1</x:v>
      </x:c>
    </x:row>
    <x:row r="9">
      <x:c r="A9" s="12"/>
      <x:c r="B9" s="12"/>
      <x:c r="C9" s="12"/>
      <x:c r="D9" s="12" t="str">
        <x:v>Landslide / Subsidence Risk</x:v>
      </x:c>
      <x:c r="E9" s="12" t="n">
        <x:f>COUNTIF('Risk Research'!D2:D31,"Landslide / Subsidence Risk")</x:f>
        <x:v>1</x:v>
      </x:c>
    </x:row>
    <x:row r="10">
      <x:c r="A10" s="12"/>
      <x:c r="B10" s="12"/>
      <x:c r="C10" s="12"/>
      <x:c r="D10" s="12" t="str">
        <x:v>Other Landslide Combined</x:v>
      </x:c>
      <x:c r="E10" s="12" t="n">
        <x:f>COUNTIF('Risk Research'!D2:D31,"Landslide / Road &amp; Settlement Risk")+COUNTIF('Risk Research'!D2:D31,"Landslide / Settlement Risk")</x:f>
        <x:v>2</x:v>
      </x:c>
    </x:row>
  </x:sheetData>
  <x:mergeCells>
    <x:mergeCell ref="A1:F1"/>
  </x:mergeCells>
  <x:pageMargins left="0.7" right="0.7" top="0.75" bottom="0.75" header="0.3" footer="0.3"/>
</x:worksheet>
</file>