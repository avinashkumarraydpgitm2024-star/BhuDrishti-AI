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chema" sheetId="2" state="visible" r:id="rId4"/>
    <sheet name="Datasets" sheetId="3" state="visible" r:id="rId5"/>
    <sheet name="Thresholds" sheetId="4" state="visible" r:id="rId6"/>
    <sheet name="Events" sheetId="5" state="visible" r:id="rId7"/>
    <sheet name="Sampling_Quota" sheetId="6" state="visible" r:id="rId8"/>
    <sheet name="Limitations" sheetId="7" state="visible" r:id="rId9"/>
    <sheet name="Data_Templat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<sst xmlns="http://schemas.openxmlformats.org/spreadsheetml/2006/main" count="557" uniqueCount="405">
  <si>
    <t xml:space="preserve">BhuDrishti AI - NE India Flood Dataset: reference workbook</t>
  </si>
  <si>
    <t xml:space="preserve">IMPORTANT</t>
  </si>
  <si>
    <t xml:space="preserve">Is workbook mein ASLI flood data NAHI hai. Wo data tab banega jab aap GEE script (BhuDrishti_NE_Flood_Pipeline.js) Code Editor mein run karke CSV export karoge. Maine script abhi run nahi ki, isliye koi bhi row banake dena galat hota.</t>
  </si>
  <si>
    <t xml:space="preserve">Ye kya hai</t>
  </si>
  <si>
    <t xml:space="preserve">Script ki baaki sab cheezein ek jagah: schema, dataset verification, thresholds, events, sampling quota, limitations, aur ek khali Data_Template jisme GEE ka CSV paste kar sakte ho.</t>
  </si>
  <si>
    <t xml:space="preserve">Sheets</t>
  </si>
  <si>
    <t xml:space="preserve">Schema | Datasets | Thresholds | Events | Sampling_Quota | Limitations | Data_Template</t>
  </si>
  <si>
    <t xml:space="preserve">Blue text / yellow cell</t>
  </si>
  <si>
    <t xml:space="preserve">Blue text = input jo aap badal sakte ho. Yellow fill = aapko bharna hai (jaise flood window ka verified source).</t>
  </si>
  <si>
    <t xml:space="preserve">Events sheet</t>
  </si>
  <si>
    <t xml:space="preserve">Saari flood windows PLACEHOLDER hain (har saal 1-14 July). Script ke EVENTS section mein bhi wahi badalna padega; ye sheet sirf planning aur rainfall-window check ke liye hai.</t>
  </si>
  <si>
    <t xml:space="preserve">Sampling_Quota sheet</t>
  </si>
  <si>
    <t xml:space="preserve">Formulas se dikhata hai ki script har state/class ke liye kitne points maangegi. Ye 'requested' numbers hain, guaranteed nahi. Hill states mein flood pixels kam honge to flood rows kam aayenge.</t>
  </si>
  <si>
    <t xml:space="preserve">Data_Template</t>
  </si>
  <si>
    <t xml:space="preserve">Row 6 ek EXAMPLE hai (nakli values, sirf format dikhane ke liye). Use delete karo, phir apna CSV header ke saath A5 se paste karo. Excel ki limit ~1,048,576 rows hai, 100K rows aaram se aate hain.</t>
  </si>
  <si>
    <t xml:space="preserve">CSV merge tip</t>
  </si>
  <si>
    <t xml:space="preserve">GEE har event ka alag CSV deta hai. Pandas se merge karo (script ke README mein code hai) ya Excel Power Query (Data &gt; Get Data &gt; From Folder). -9999 ka matlab missing value (S2 cloud ya HAND nahi).</t>
  </si>
  <si>
    <t xml:space="preserve">Label ki sachchai</t>
  </si>
  <si>
    <t xml:space="preserve">flood_label heuristic hai (satellite rules se bana), ground truth nahi. Model ko sab columns par train mat karo, kyunki label S1/S2 columns se hi bana hai. Details 'Limitations' sheet mein.</t>
  </si>
  <si>
    <t xml:space="preserve">Expected CSV columns (same order as the script's CSV_COLUMNS)</t>
  </si>
  <si>
    <t xml:space="preserve">#</t>
  </si>
  <si>
    <t xml:space="preserve">Column</t>
  </si>
  <si>
    <t xml:space="preserve">Group</t>
  </si>
  <si>
    <t xml:space="preserve">Meaning</t>
  </si>
  <si>
    <t xml:space="preserve">Unit / range</t>
  </si>
  <si>
    <t xml:space="preserve">Source / how made</t>
  </si>
  <si>
    <t xml:space="preserve">Note</t>
  </si>
  <si>
    <t xml:space="preserve">latitude</t>
  </si>
  <si>
    <t xml:space="preserve">Location</t>
  </si>
  <si>
    <t xml:space="preserve">Latitude of sampled pixel centre</t>
  </si>
  <si>
    <t xml:space="preserve">deg (WGS84)</t>
  </si>
  <si>
    <t xml:space="preserve">GEE sample geometry</t>
  </si>
  <si>
    <t xml:space="preserve">longitude</t>
  </si>
  <si>
    <t xml:space="preserve">Longitude of sampled pixel centre</t>
  </si>
  <si>
    <t xml:space="preserve">date</t>
  </si>
  <si>
    <t xml:space="preserve">Time</t>
  </si>
  <si>
    <t xml:space="preserve">Observation date that anchors rainfall (midpoint of flood window unless overridden)</t>
  </si>
  <si>
    <t xml:space="preserve">YYYY-MM-DD</t>
  </si>
  <si>
    <t xml:space="preserve">EVENTS config</t>
  </si>
  <si>
    <t xml:space="preserve">One representative date, not per-pixel acquisition date</t>
  </si>
  <si>
    <t xml:space="preserve">year</t>
  </si>
  <si>
    <t xml:space="preserve">Flood season year</t>
  </si>
  <si>
    <t xml:space="preserve">integer</t>
  </si>
  <si>
    <t xml:space="preserve">state</t>
  </si>
  <si>
    <t xml:space="preserve">Northeast state name</t>
  </si>
  <si>
    <t xml:space="preserve">text</t>
  </si>
  <si>
    <t xml:space="preserve">FAO GAUL 2015 level-1 (ADM1_NAME)</t>
  </si>
  <si>
    <t xml:space="preserve">UN-style boundaries, not Survey of India</t>
  </si>
  <si>
    <t xml:space="preserve">s1_vv_before</t>
  </si>
  <si>
    <t xml:space="preserve">Sentinel-1</t>
  </si>
  <si>
    <t xml:space="preserve">VV backscatter, pre-flood median composite</t>
  </si>
  <si>
    <t xml:space="preserve">dB</t>
  </si>
  <si>
    <t xml:space="preserve">COPERNICUS/S1_GRD, IW, same orbit pass as flood</t>
  </si>
  <si>
    <t xml:space="preserve">Already calibrated + terrain-corrected in GEE</t>
  </si>
  <si>
    <t xml:space="preserve">s1_vv_flood</t>
  </si>
  <si>
    <t xml:space="preserve">VV backscatter, flood-window median composite</t>
  </si>
  <si>
    <t xml:space="preserve">COPERNICUS/S1_GRD</t>
  </si>
  <si>
    <t xml:space="preserve">s1_vv_change</t>
  </si>
  <si>
    <t xml:space="preserve">flood minus before (VV)</t>
  </si>
  <si>
    <t xml:space="preserve">derived</t>
  </si>
  <si>
    <t xml:space="preserve">Negative = darker = more water-like</t>
  </si>
  <si>
    <t xml:space="preserve">s1_vh_before</t>
  </si>
  <si>
    <t xml:space="preserve">VH backscatter, pre-flood</t>
  </si>
  <si>
    <t xml:space="preserve">s1_vh_flood</t>
  </si>
  <si>
    <t xml:space="preserve">VH backscatter, flood window</t>
  </si>
  <si>
    <t xml:space="preserve">s1_vh_change</t>
  </si>
  <si>
    <t xml:space="preserve">flood minus before (VH)</t>
  </si>
  <si>
    <t xml:space="preserve">ndvi_before</t>
  </si>
  <si>
    <t xml:space="preserve">Sentinel-2</t>
  </si>
  <si>
    <t xml:space="preserve">NDVI, pre-flood median of clear obs</t>
  </si>
  <si>
    <t xml:space="preserve">-1..1</t>
  </si>
  <si>
    <t xml:space="preserve">S2_SR_HARMONIZED B8,B4 + Cloud Score+</t>
  </si>
  <si>
    <t xml:space="preserve">-9999 if no clear view</t>
  </si>
  <si>
    <t xml:space="preserve">ndvi_flood</t>
  </si>
  <si>
    <t xml:space="preserve">NDVI, flood window</t>
  </si>
  <si>
    <t xml:space="preserve">same</t>
  </si>
  <si>
    <t xml:space="preserve">ndvi_change</t>
  </si>
  <si>
    <t xml:space="preserve">ndvi_flood minus ndvi_before</t>
  </si>
  <si>
    <t xml:space="preserve">-2..2</t>
  </si>
  <si>
    <t xml:space="preserve">-9999 if either missing</t>
  </si>
  <si>
    <t xml:space="preserve">ndwi_before</t>
  </si>
  <si>
    <t xml:space="preserve">NDWI (McFeeters), pre-flood</t>
  </si>
  <si>
    <t xml:space="preserve">B3,B8</t>
  </si>
  <si>
    <t xml:space="preserve">ndwi_flood</t>
  </si>
  <si>
    <t xml:space="preserve">NDWI, flood window</t>
  </si>
  <si>
    <t xml:space="preserve">ndwi_change</t>
  </si>
  <si>
    <t xml:space="preserve">ndwi_flood minus ndwi_before</t>
  </si>
  <si>
    <t xml:space="preserve">mndwi</t>
  </si>
  <si>
    <t xml:space="preserve">MNDWI (Xu), flood window</t>
  </si>
  <si>
    <t xml:space="preserve">B3,B11 (20 m resampled)</t>
  </si>
  <si>
    <t xml:space="preserve">elevation</t>
  </si>
  <si>
    <t xml:space="preserve">Terrain</t>
  </si>
  <si>
    <t xml:space="preserve">Elevation above sea level</t>
  </si>
  <si>
    <t xml:space="preserve">m</t>
  </si>
  <si>
    <t xml:space="preserve">USGS/SRTMGL1_003</t>
  </si>
  <si>
    <t xml:space="preserve">slope</t>
  </si>
  <si>
    <t xml:space="preserve">Terrain slope</t>
  </si>
  <si>
    <t xml:space="preserve">degrees</t>
  </si>
  <si>
    <t xml:space="preserve">ee.Terrain.slope(SRTM)</t>
  </si>
  <si>
    <t xml:space="preserve">rainfall_1d</t>
  </si>
  <si>
    <t xml:space="preserve">Rainfall</t>
  </si>
  <si>
    <t xml:space="preserve">Rain on observation date</t>
  </si>
  <si>
    <t xml:space="preserve">mm</t>
  </si>
  <si>
    <t xml:space="preserve">CHIRPS v3 daily (UCSB-CHC/CHIRPS/V3/DAILY_SAT)</t>
  </si>
  <si>
    <t xml:space="preserve">~5.5 km cells, same value for many neighbouring samples</t>
  </si>
  <si>
    <t xml:space="preserve">rainfall_3d</t>
  </si>
  <si>
    <t xml:space="preserve">Accumulated rain, days D-2..D</t>
  </si>
  <si>
    <t xml:space="preserve">CHIRPS v3</t>
  </si>
  <si>
    <t xml:space="preserve">rainfall_7d</t>
  </si>
  <si>
    <t xml:space="preserve">Accumulated rain, days D-6..D</t>
  </si>
  <si>
    <t xml:space="preserve">flood_label</t>
  </si>
  <si>
    <t xml:space="preserve">Label</t>
  </si>
  <si>
    <t xml:space="preserve">1 = flood, 0 = confident non-flood</t>
  </si>
  <si>
    <t xml:space="preserve">0/1</t>
  </si>
  <si>
    <t xml:space="preserve">Heuristic (see Thresholds)</t>
  </si>
  <si>
    <t xml:space="preserve">NOT ground truth</t>
  </si>
  <si>
    <t xml:space="preserve">event_id</t>
  </si>
  <si>
    <t xml:space="preserve">Provenance</t>
  </si>
  <si>
    <t xml:space="preserve">Event name from EVENTS</t>
  </si>
  <si>
    <t xml:space="preserve">Use with year/state for event-based validation</t>
  </si>
  <si>
    <t xml:space="preserve">flood_start</t>
  </si>
  <si>
    <t xml:space="preserve">Flood window start</t>
  </si>
  <si>
    <t xml:space="preserve">flood_end</t>
  </si>
  <si>
    <t xml:space="preserve">Flood window end</t>
  </si>
  <si>
    <t xml:space="preserve">sample_type</t>
  </si>
  <si>
    <t xml:space="preserve">Sampling</t>
  </si>
  <si>
    <t xml:space="preserve">flood / nonflood_hard / nonflood_easy</t>
  </si>
  <si>
    <t xml:space="preserve">script</t>
  </si>
  <si>
    <t xml:space="preserve">hard = stable land inside flood-prone terrain; easy = outside it (e.g. steep hills)</t>
  </si>
  <si>
    <t xml:space="preserve">block_id</t>
  </si>
  <si>
    <t xml:space="preserve">Leakage control</t>
  </si>
  <si>
    <t xml:space="preserve">0.25-degree spatial block id = floor(lon/0.25)*1000 + floor(lat/0.25)</t>
  </si>
  <si>
    <t xml:space="preserve">Use as group in GroupKFold</t>
  </si>
  <si>
    <t xml:space="preserve">cv_fold_hint</t>
  </si>
  <si>
    <t xml:space="preserve">Quick 5-fold spatial hint = (7*bx + 13*by) mod 5</t>
  </si>
  <si>
    <t xml:space="preserve">0-4</t>
  </si>
  <si>
    <t xml:space="preserve">Optional convenience; re-derive if you prefer</t>
  </si>
  <si>
    <t xml:space="preserve">hand</t>
  </si>
  <si>
    <t xml:space="preserve">Height above nearest drainage (HAND)</t>
  </si>
  <si>
    <t xml:space="preserve">MERIT/Hydro/v1_0_1 band hnd</t>
  </si>
  <si>
    <t xml:space="preserve">-9999 if unavailable; verify semantics in Inspector</t>
  </si>
  <si>
    <t xml:space="preserve">jrc_occurrence</t>
  </si>
  <si>
    <t xml:space="preserve">Water history</t>
  </si>
  <si>
    <t xml:space="preserve">Share of observations that were water 1984-2021</t>
  </si>
  <si>
    <t xml:space="preserve">%</t>
  </si>
  <si>
    <t xml:space="preserve">JRC/GSW1_4/GlobalSurfaceWater</t>
  </si>
  <si>
    <t xml:space="preserve">Ends 2021</t>
  </si>
  <si>
    <t xml:space="preserve">lulc_worldcover</t>
  </si>
  <si>
    <t xml:space="preserve">Land cover</t>
  </si>
  <si>
    <t xml:space="preserve">ESA WorldCover 2021 class (40 = cropland, 80 = permanent water)</t>
  </si>
  <si>
    <t xml:space="preserve">class code</t>
  </si>
  <si>
    <t xml:space="preserve">ESA/WorldCover/v200</t>
  </si>
  <si>
    <t xml:space="preserve">Static 2021 map</t>
  </si>
  <si>
    <t xml:space="preserve">s1_pass</t>
  </si>
  <si>
    <t xml:space="preserve">Sentinel-1 QA</t>
  </si>
  <si>
    <t xml:space="preserve">1 = ascending, 0 = descending pair used</t>
  </si>
  <si>
    <t xml:space="preserve">s1_n_before</t>
  </si>
  <si>
    <t xml:space="preserve">Scenes in pre-flood composite</t>
  </si>
  <si>
    <t xml:space="preserve">count</t>
  </si>
  <si>
    <t xml:space="preserve">Low counts = noisier composite</t>
  </si>
  <si>
    <t xml:space="preserve">s1_n_flood</t>
  </si>
  <si>
    <t xml:space="preserve">Scenes in flood composite</t>
  </si>
  <si>
    <t xml:space="preserve">s2_before_valid</t>
  </si>
  <si>
    <t xml:space="preserve">Sentinel-2 QA</t>
  </si>
  <si>
    <t xml:space="preserve">1 if a clear S2 view existed pre-flood</t>
  </si>
  <si>
    <t xml:space="preserve">s2_flood_valid</t>
  </si>
  <si>
    <t xml:space="preserve">1 if a clear S2 view existed in the flood window</t>
  </si>
  <si>
    <t xml:space="preserve">0 = label rests on SAR alone</t>
  </si>
  <si>
    <t xml:space="preserve">Dataset verification (checked against the Earth Engine catalog, 2026-09-19)</t>
  </si>
  <si>
    <t xml:space="preserve">Dataset</t>
  </si>
  <si>
    <t xml:space="preserve">Earth Engine ID</t>
  </si>
  <si>
    <t xml:space="preserve">Bands used</t>
  </si>
  <si>
    <t xml:space="preserve">Coverage per catalog</t>
  </si>
  <si>
    <t xml:space="preserve">Status</t>
  </si>
  <si>
    <t xml:space="preserve">Important note</t>
  </si>
  <si>
    <t xml:space="preserve">Sentinel-1 GRD</t>
  </si>
  <si>
    <t xml:space="preserve">VV, VH</t>
  </si>
  <si>
    <t xml:space="preserve">2014-10-03 to present</t>
  </si>
  <si>
    <t xml:space="preserve">Verified</t>
  </si>
  <si>
    <t xml:space="preserve">S1B ended Dec 2021; S1C regular from Mar 2025; most land ~12-day repeat per track, so use flood windows &gt;= 12 days</t>
  </si>
  <si>
    <t xml:space="preserve">Sentinel-2 L2A</t>
  </si>
  <si>
    <t xml:space="preserve">COPERNICUS/S2_SR_HARMONIZED</t>
  </si>
  <si>
    <t xml:space="preserve">B3, B4, B8, B11</t>
  </si>
  <si>
    <t xml:space="preserve">2017-03-28 to present</t>
  </si>
  <si>
    <t xml:space="preserve">2017-2018 L2A coverage not yet global; QA60 masked 2022-01-25 to 2024-02-28 (not used)</t>
  </si>
  <si>
    <t xml:space="preserve">Cloud Score+</t>
  </si>
  <si>
    <t xml:space="preserve">GOOGLE/CLOUD_SCORE_PLUS/V1/S2_HARMONIZED</t>
  </si>
  <si>
    <t xml:space="preserve">cs_cdf (also cs)</t>
  </si>
  <si>
    <t xml:space="preserve">2015-06-27 to present</t>
  </si>
  <si>
    <t xml:space="preserve">Threshold 0.60 (catalog suggests 0.50-0.65)</t>
  </si>
  <si>
    <t xml:space="preserve">SRTM 30 m</t>
  </si>
  <si>
    <t xml:space="preserve">Static (Feb 2000)</t>
  </si>
  <si>
    <t xml:space="preserve">Slope derived with ee.Terrain.slope</t>
  </si>
  <si>
    <t xml:space="preserve">CHIRPS v3 daily</t>
  </si>
  <si>
    <t xml:space="preserve">UCSB-CHC/CHIRPS/V3/DAILY_SAT</t>
  </si>
  <si>
    <t xml:space="preserve">precipitation (mm/d)</t>
  </si>
  <si>
    <t xml:space="preserve">1981-01-01 to 2026-08-31</t>
  </si>
  <si>
    <t xml:space="preserve">Used instead of v2 (UCSB-CHG/CHIRPS/DAILY) which ends 2025-01-31</t>
  </si>
  <si>
    <t xml:space="preserve">JRC Global Surface Water</t>
  </si>
  <si>
    <t xml:space="preserve">occurrence</t>
  </si>
  <si>
    <t xml:space="preserve">1984-03 to 2021-12</t>
  </si>
  <si>
    <t xml:space="preserve">Does not cover 2022-2025; pre-flood S1 water test covers channel shifts. GSW1_5 not used (path not verified)</t>
  </si>
  <si>
    <t xml:space="preserve">MERIT Hydro</t>
  </si>
  <si>
    <t xml:space="preserve">MERIT/Hydro/v1_0_1</t>
  </si>
  <si>
    <t xml:space="preserve">hnd (HAND)</t>
  </si>
  <si>
    <t xml:space="preserve">Static, 90 m</t>
  </si>
  <si>
    <t xml:space="preserve">Band exists; semantics need check</t>
  </si>
  <si>
    <t xml:space="preserve">Catalog text ambiguous; check Inspector (~0 in rivers, rises uphill). Licence CC-BY-NC / ODbL</t>
  </si>
  <si>
    <t xml:space="preserve">FAO GAUL 2015 level 1</t>
  </si>
  <si>
    <t xml:space="preserve">FAO/GAUL/2015/level1</t>
  </si>
  <si>
    <t xml:space="preserve">ADM0_NAME, ADM1_NAME</t>
  </si>
  <si>
    <t xml:space="preserve">Static</t>
  </si>
  <si>
    <t xml:space="preserve">Exists; state spellings not verified</t>
  </si>
  <si>
    <t xml:space="preserve">Script prints state count (expect 8). Non-commercial licence; not Survey of India boundary</t>
  </si>
  <si>
    <t xml:space="preserve">ESA WorldCover</t>
  </si>
  <si>
    <t xml:space="preserve">Map</t>
  </si>
  <si>
    <t xml:space="preserve">2021 only</t>
  </si>
  <si>
    <t xml:space="preserve">Static context layer</t>
  </si>
  <si>
    <t xml:space="preserve">Global Flood Database</t>
  </si>
  <si>
    <t xml:space="preserve">GLOBAL_FLOOD_DB/MODIS_EVENTS/V1</t>
  </si>
  <si>
    <t xml:space="preserve">flooded, jrc_perm_water</t>
  </si>
  <si>
    <t xml:space="preserve">2000-02-17 to 2018-12-10</t>
  </si>
  <si>
    <t xml:space="preserve">Only 2018 overlaps your period; 250 m, cloud-limited; sanity check only</t>
  </si>
  <si>
    <t xml:space="preserve">MODIS/VIIRS NRT flood (MCDWD)</t>
  </si>
  <si>
    <t xml:space="preserve">not confirmed in GEE</t>
  </si>
  <si>
    <t xml:space="preserve">-</t>
  </si>
  <si>
    <t xml:space="preserve">Archive 2003-2025 at NASA LAADS</t>
  </si>
  <si>
    <t xml:space="preserve">NOT verified in GEE</t>
  </si>
  <si>
    <t xml:space="preserve">Not used</t>
  </si>
  <si>
    <t xml:space="preserve">ASDMA / FMIS / NRSC / Copernicus EMS</t>
  </si>
  <si>
    <t xml:space="preserve">not in GEE</t>
  </si>
  <si>
    <t xml:space="preserve">Not in GEE</t>
  </si>
  <si>
    <t xml:space="preserve">Upload as asset to validate labels</t>
  </si>
  <si>
    <t xml:space="preserve">Flood-label parameters (defaults in the script's CONFIG). None were calibrated on NE India reference data.</t>
  </si>
  <si>
    <t xml:space="preserve">Parameter</t>
  </si>
  <si>
    <t xml:space="preserve">Default</t>
  </si>
  <si>
    <t xml:space="preserve">Unit</t>
  </si>
  <si>
    <t xml:space="preserve">Used for</t>
  </si>
  <si>
    <t xml:space="preserve">Why this value / caveat</t>
  </si>
  <si>
    <t xml:space="preserve">VV_CHANGE_DB</t>
  </si>
  <si>
    <t xml:space="preserve">Flood candidate: VV_flood - VV_before must be &lt;= this</t>
  </si>
  <si>
    <t xml:space="preserve">~50% drop in linear backscatter; common change-detection convention, above typical composite noise. Not universal</t>
  </si>
  <si>
    <t xml:space="preserve">REQUIRE_VH_CONFIRM</t>
  </si>
  <si>
    <t xml:space="preserve">TRUE</t>
  </si>
  <si>
    <t xml:space="preserve">flag</t>
  </si>
  <si>
    <t xml:space="preserve">Also require VH change</t>
  </si>
  <si>
    <t xml:space="preserve">Cross-pol darkening rejects some roughness/soil-moisture effects</t>
  </si>
  <si>
    <t xml:space="preserve">VH_CHANGE_DB</t>
  </si>
  <si>
    <t xml:space="preserve">VH_flood - VH_before &lt;= this</t>
  </si>
  <si>
    <t xml:space="preserve">Lower than VV because VH is near the noise floor</t>
  </si>
  <si>
    <t xml:space="preserve">VV_WATER_DB</t>
  </si>
  <si>
    <t xml:space="preserve">VV_flood must be &lt;= this; VV_before must be &gt; this</t>
  </si>
  <si>
    <t xml:space="preserve">Calm water is usually far below -18; -16 leaves margin for wind and 30 m averaging</t>
  </si>
  <si>
    <t xml:space="preserve">VV_GUARD_DB</t>
  </si>
  <si>
    <t xml:space="preserve">Non-flood needs VV_flood &gt; VV_WATER_DB + guard (-14)</t>
  </si>
  <si>
    <t xml:space="preserve">Gap between classes reduces label noise but makes classes easier to separate</t>
  </si>
  <si>
    <t xml:space="preserve">VV_STABLE_DOWN_DB</t>
  </si>
  <si>
    <t xml:space="preserve">Non-flood: change must be &gt; this</t>
  </si>
  <si>
    <t xml:space="preserve">No meaningful darkening</t>
  </si>
  <si>
    <t xml:space="preserve">VV_STABLE_UP_DB</t>
  </si>
  <si>
    <t xml:space="preserve">Non-flood: change must be &lt; this</t>
  </si>
  <si>
    <t xml:space="preserve">Large increases can be flooded vegetation (double-bounce)</t>
  </si>
  <si>
    <t xml:space="preserve">SLOPE_MAX_DEG</t>
  </si>
  <si>
    <t xml:space="preserve">deg</t>
  </si>
  <si>
    <t xml:space="preserve">Flood only where slope &lt;= this</t>
  </si>
  <si>
    <t xml:space="preserve">SAR flood mapping is unreliable on steep terrain</t>
  </si>
  <si>
    <t xml:space="preserve">HAND_MAX_M</t>
  </si>
  <si>
    <t xml:space="preserve">Flood only where HAND &lt;= this</t>
  </si>
  <si>
    <t xml:space="preserve">Plausibility limit above nearest drainage</t>
  </si>
  <si>
    <t xml:space="preserve">JRC_PERM_OCC</t>
  </si>
  <si>
    <t xml:space="preserve">JRC occurrence &gt;= this = permanent water</t>
  </si>
  <si>
    <t xml:space="preserve">Conservative: bigger exclusion, avoids labelling rivers as flood</t>
  </si>
  <si>
    <t xml:space="preserve">PERM_BUFFER_M</t>
  </si>
  <si>
    <t xml:space="preserve">Grow permanent water by ~1 pixel</t>
  </si>
  <si>
    <t xml:space="preserve">Edge jitter of JRC/S1</t>
  </si>
  <si>
    <t xml:space="preserve">MNDWI_WATER</t>
  </si>
  <si>
    <t xml:space="preserve">index</t>
  </si>
  <si>
    <t xml:space="preserve">Clear S2 view: MNDWI &gt; this = water</t>
  </si>
  <si>
    <t xml:space="preserve">Xu (2006) natural boundary; turbid water may need tuning</t>
  </si>
  <si>
    <t xml:space="preserve">MIN_PATCH_PX</t>
  </si>
  <si>
    <t xml:space="preserve">pixels</t>
  </si>
  <si>
    <t xml:space="preserve">Drop isolated flood patches smaller than this</t>
  </si>
  <si>
    <t xml:space="preserve">4 px at 30 m = 0.36 ha; set 0 if memory errors</t>
  </si>
  <si>
    <t xml:space="preserve">CS_THRESHOLD</t>
  </si>
  <si>
    <t xml:space="preserve">0-1</t>
  </si>
  <si>
    <t xml:space="preserve">Cloud Score+ cs_cdf clear threshold</t>
  </si>
  <si>
    <t xml:space="preserve">Catalog suggests 0.50-0.65</t>
  </si>
  <si>
    <t xml:space="preserve">S1_SPECKLE_RADIUS_M</t>
  </si>
  <si>
    <t xml:space="preserve">Focal median after temporal median</t>
  </si>
  <si>
    <t xml:space="preserve">Speckle reduction</t>
  </si>
  <si>
    <t xml:space="preserve">SAMPLE_SCALE_M</t>
  </si>
  <si>
    <t xml:space="preserve">Analysis / sampling grid</t>
  </si>
  <si>
    <t xml:space="preserve">Matches SRTM; S1 (10 m) and S2 B11 (20 m) are resampled</t>
  </si>
  <si>
    <t xml:space="preserve">BLOCK_DEG</t>
  </si>
  <si>
    <t xml:space="preserve">Spatial block for leakage-aware CV</t>
  </si>
  <si>
    <t xml:space="preserve">Multiple of CHIRPS 0.05 deg cell</t>
  </si>
  <si>
    <t xml:space="preserve">Blue = script default. Changing it here does NOT change the script; edit CONFIG in the .js file.</t>
  </si>
  <si>
    <t xml:space="preserve">Flood events (PLACEHOLDERS - replace with verified windows, then copy into EVENTS in the script)</t>
  </si>
  <si>
    <t xml:space="preserve">Edit blue cells (dates, states). Yellow column = source you verified (ASDMA, FMIS, IMD, Copernicus EMS, news). Grey/black cells are formulas.</t>
  </si>
  <si>
    <t xml:space="preserve">Rainfall windows END on the Obs date (inclusive): 1d = D, 3d = D-2..D, 7d = D-6..D. Obs date default = midpoint of flood window (median composite ~ representative date). S1 repeat ~12 days per track, so keep flood windows &gt;= 12 days.</t>
  </si>
  <si>
    <t xml:space="preserve">Event ID</t>
  </si>
  <si>
    <t xml:space="preserve">Year</t>
  </si>
  <si>
    <t xml:space="preserve">States</t>
  </si>
  <si>
    <t xml:space="preserve">Pre start</t>
  </si>
  <si>
    <t xml:space="preserve">Pre end</t>
  </si>
  <si>
    <t xml:space="preserve">Flood start</t>
  </si>
  <si>
    <t xml:space="preserve">Flood end</t>
  </si>
  <si>
    <t xml:space="preserve">Obs date (rain anchor)</t>
  </si>
  <si>
    <t xml:space="preserve">Flood window (days)</t>
  </si>
  <si>
    <t xml:space="preserve">Window check</t>
  </si>
  <si>
    <t xml:space="preserve">Rain 1d starts</t>
  </si>
  <si>
    <t xml:space="preserve">Rain 3d starts</t>
  </si>
  <si>
    <t xml:space="preserve">Rain 7d starts</t>
  </si>
  <si>
    <t xml:space="preserve">Pre/flood order</t>
  </si>
  <si>
    <t xml:space="preserve">Verified source (fill in)</t>
  </si>
  <si>
    <t xml:space="preserve">NE2018</t>
  </si>
  <si>
    <t xml:space="preserve">ALL</t>
  </si>
  <si>
    <t xml:space="preserve">PLACEHOLDER</t>
  </si>
  <si>
    <t xml:space="preserve">NE2019</t>
  </si>
  <si>
    <t xml:space="preserve">NE2020</t>
  </si>
  <si>
    <t xml:space="preserve">NE2021</t>
  </si>
  <si>
    <t xml:space="preserve">NE2022</t>
  </si>
  <si>
    <t xml:space="preserve">NE2023</t>
  </si>
  <si>
    <t xml:space="preserve">NE2024</t>
  </si>
  <si>
    <t xml:space="preserve">NE2025</t>
  </si>
  <si>
    <t xml:space="preserve">Sampling quota planner (mirrors buildQuota() in the script)</t>
  </si>
  <si>
    <t xml:space="preserve">These are REQUESTED points. A stratum with fewer valid pixels returns fewer; expect fewer flood rows in hill states.</t>
  </si>
  <si>
    <t xml:space="preserve">TARGET_SAMPLES</t>
  </si>
  <si>
    <t xml:space="preserve">Total rows wanted across all events (approximate)</t>
  </si>
  <si>
    <t xml:space="preserve">OVERSAMPLE</t>
  </si>
  <si>
    <t xml:space="preserve">Request extra because some strata return fewer</t>
  </si>
  <si>
    <t xml:space="preserve">Number of events</t>
  </si>
  <si>
    <t xml:space="preserve">Counted from the Events sheet</t>
  </si>
  <si>
    <t xml:space="preserve">FLOOD_SHARE</t>
  </si>
  <si>
    <t xml:space="preserve">Requested flood share per state (not forced)</t>
  </si>
  <si>
    <t xml:space="preserve">NEG_HARD_SHARE</t>
  </si>
  <si>
    <t xml:space="preserve">Share of non-flood taken from flood-prone domain</t>
  </si>
  <si>
    <t xml:space="preserve">AREA_WEIGHT</t>
  </si>
  <si>
    <t xml:space="preserve">0 = equal per state, 1 = proportional to area</t>
  </si>
  <si>
    <t xml:space="preserve">Requested per event</t>
  </si>
  <si>
    <t xml:space="preserve">TARGET x OVERSAMPLE / events</t>
  </si>
  <si>
    <t xml:space="preserve">State</t>
  </si>
  <si>
    <t xml:space="preserve">Area (km2, approx)</t>
  </si>
  <si>
    <t xml:space="preserve">Weight</t>
  </si>
  <si>
    <t xml:space="preserve">Per-event quota</t>
  </si>
  <si>
    <t xml:space="preserve">Flood</t>
  </si>
  <si>
    <t xml:space="preserve">Non-flood hard</t>
  </si>
  <si>
    <t xml:space="preserve">Non-flood easy</t>
  </si>
  <si>
    <t xml:space="preserve">Check (sum)</t>
  </si>
  <si>
    <t xml:space="preserve">Assam</t>
  </si>
  <si>
    <t xml:space="preserve">Arunachal Pradesh</t>
  </si>
  <si>
    <t xml:space="preserve">Meghalaya</t>
  </si>
  <si>
    <t xml:space="preserve">Manipur</t>
  </si>
  <si>
    <t xml:space="preserve">Mizoram</t>
  </si>
  <si>
    <t xml:space="preserve">Nagaland</t>
  </si>
  <si>
    <t xml:space="preserve">Tripura</t>
  </si>
  <si>
    <t xml:space="preserve">Sikkim</t>
  </si>
  <si>
    <t xml:space="preserve">Total per event</t>
  </si>
  <si>
    <t xml:space="preserve">Total x events</t>
  </si>
  <si>
    <t xml:space="preserve">Source of state areas: approximate published state areas, entered by the assistant from general knowledge (not from GEE); used only to weight quotas.</t>
  </si>
  <si>
    <t xml:space="preserve">Scientific limitations and what to do about them</t>
  </si>
  <si>
    <t xml:space="preserve">Issue</t>
  </si>
  <si>
    <t xml:space="preserve">Why it matters</t>
  </si>
  <si>
    <t xml:space="preserve">Mitigation</t>
  </si>
  <si>
    <t xml:space="preserve">Labels are heuristic</t>
  </si>
  <si>
    <t xml:space="preserve">Rules on S1/S2, not surveyed ground truth. Thresholds not calibrated on NE India.</t>
  </si>
  <si>
    <t xml:space="preserve">Hand-label 300+ points/event on high-res imagery; validate with Copernicus EMS / NRSC / ASDMA extents; run threshold sensitivity.</t>
  </si>
  <si>
    <t xml:space="preserve">Circularity</t>
  </si>
  <si>
    <t xml:space="preserve">flood_label is computed from s1_*, mndwi, slope, hand, jrc_occurrence. A model using them re-learns the rule.</t>
  </si>
  <si>
    <t xml:space="preserve">For risk prediction use pre-event/static features only (elevation, slope, hand, jrc_occurrence, lulc, rainfall, *_before). Keep flood-period columns for a detector baseline.</t>
  </si>
  <si>
    <t xml:space="preserve">Spatial leakage</t>
  </si>
  <si>
    <t xml:space="preserve">Neighbouring pixels share terrain, rainfall cell (~5.5 km) and flood blob; random splits give inflated accuracy.</t>
  </si>
  <si>
    <t xml:space="preserve">GroupKFold on block_id; leave-one-year-out; chronological split; report both.</t>
  </si>
  <si>
    <t xml:space="preserve">Temporal/spatial repeat</t>
  </si>
  <si>
    <t xml:space="preserve">Same location repeats across years with identical static features.</t>
  </si>
  <si>
    <t xml:space="preserve">Combine spatial-block and year-based splits.</t>
  </si>
  <si>
    <t xml:space="preserve">Placeholder flood windows</t>
  </si>
  <si>
    <t xml:space="preserve">Default windows are mid-July every year, not real events.</t>
  </si>
  <si>
    <t xml:space="preserve">Use DIAGNOSTIC mode plus official reports; set per-state events.</t>
  </si>
  <si>
    <t xml:space="preserve">Blind spots</t>
  </si>
  <si>
    <t xml:space="preserve">Flooded vegetation/urban (double-bounce), wet paddy (false positives), wind-roughened water, radar shadow/layover, flash floods in steep valleys.</t>
  </si>
  <si>
    <t xml:space="preserve">Use cropland flag (lulc_worldcover = 40), add flooded-vegetation logic, treat hill states carefully.</t>
  </si>
  <si>
    <t xml:space="preserve">Hill states under-represented</t>
  </si>
  <si>
    <t xml:space="preserve">Slope &lt;= 5 deg and HAND &lt;= 15 m domain leaves few flood labels in Arunachal, Meghalaya, Mizoram, Nagaland, Sikkim.</t>
  </si>
  <si>
    <t xml:space="preserve">State this openly; do not claim state-wise coverage. Consider a separate landslide/flash-flood dataset.</t>
  </si>
  <si>
    <t xml:space="preserve">Sentinel-1 gaps</t>
  </si>
  <si>
    <t xml:space="preserve">Only ~12-day repeat and S1B loss (2022 to early 2025) means thin composites.</t>
  </si>
  <si>
    <t xml:space="preserve">Windows &gt;= 12 days; check s1_n_* and DIAGNOSTIC counts.</t>
  </si>
  <si>
    <t xml:space="preserve">Sentinel-2 gaps</t>
  </si>
  <si>
    <t xml:space="preserve">Monsoon clouds; 2018 SR coverage patchy.</t>
  </si>
  <si>
    <t xml:space="preserve">Use s2_*_valid flags; treat -9999 as missing, not zero.</t>
  </si>
  <si>
    <t xml:space="preserve">Coarse inputs</t>
  </si>
  <si>
    <t xml:space="preserve">CHIRPS ~5.5 km; WorldCover 2021 static; JRC ends 2021; one obs date per event.</t>
  </si>
  <si>
    <t xml:space="preserve">Document; consider per-pixel observation-date rainfall and newer water history.</t>
  </si>
  <si>
    <t xml:space="preserve">Class balance</t>
  </si>
  <si>
    <t xml:space="preserve">50/50 is requested, not forced; hill strata return fewer flood pixels.</t>
  </si>
  <si>
    <t xml:space="preserve">Trim/reweight offline; report class counts by state and year.</t>
  </si>
  <si>
    <t xml:space="preserve">Licences</t>
  </si>
  <si>
    <t xml:space="preserve">MERIT Hydro (CC-BY-NC / ODbL) and FAO GAUL (non-commercial) limit commercial use.</t>
  </si>
  <si>
    <t xml:space="preserve">Check terms before any product/SaaS use.</t>
  </si>
  <si>
    <t xml:space="preserve">Data_Template: paste the GEE CSV here</t>
  </si>
  <si>
    <t xml:space="preserve">1) Delete row 6 (EXAMPLE with made-up values, only to show the format).  2) Paste your exported/merged CSV WITH its header row at A5.  3) -9999 = missing (S2 cloud or HAND unavailable).</t>
  </si>
  <si>
    <t xml:space="preserve">Legend: row 5 = column headers (do not rename). Row 6 = EXAMPLE, NOT REAL DATA.</t>
  </si>
  <si>
    <t xml:space="preserve">EXAMPLE_DELETE_ME</t>
  </si>
  <si>
    <t xml:space="preserve">flood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</si>
</sst>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#,##0"/>
    <numFmt numFmtId="167" formatCode="0.00"/>
    <numFmt numFmtId="168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CE4D6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  <c r="B3" s="3" t="s">
        <v>2</v>
      </c>
    </row>
    <row r="4" customFormat="false" ht="23.85" hidden="false" customHeight="false" outlineLevel="0" collapsed="false">
      <c r="A4" s="4" t="s">
        <v>3</v>
      </c>
      <c r="B4" s="5" t="s">
        <v>4</v>
      </c>
    </row>
    <row r="5" customFormat="false" ht="15" hidden="false" customHeight="false" outlineLevel="0" collapsed="false">
      <c r="A5" s="4" t="s">
        <v>5</v>
      </c>
      <c r="B5" s="5" t="s">
        <v>6</v>
      </c>
    </row>
    <row r="6" customFormat="false" ht="15" hidden="false" customHeight="false" outlineLevel="0" collapsed="false">
      <c r="A6" s="4" t="s">
        <v>7</v>
      </c>
      <c r="B6" s="5" t="s">
        <v>8</v>
      </c>
    </row>
    <row r="7" customFormat="false" ht="23.85" hidden="false" customHeight="false" outlineLevel="0" collapsed="false">
      <c r="A7" s="4" t="s">
        <v>9</v>
      </c>
      <c r="B7" s="5" t="s">
        <v>10</v>
      </c>
    </row>
    <row r="8" customFormat="false" ht="23.85" hidden="false" customHeight="false" outlineLevel="0" collapsed="false">
      <c r="A8" s="4" t="s">
        <v>11</v>
      </c>
      <c r="B8" s="5" t="s">
        <v>12</v>
      </c>
    </row>
    <row r="9" customFormat="false" ht="23.85" hidden="false" customHeight="false" outlineLevel="0" collapsed="false">
      <c r="A9" s="4" t="s">
        <v>13</v>
      </c>
      <c r="B9" s="5" t="s">
        <v>14</v>
      </c>
    </row>
    <row r="10" customFormat="false" ht="23.85" hidden="false" customHeight="false" outlineLevel="0" collapsed="false">
      <c r="A10" s="4" t="s">
        <v>15</v>
      </c>
      <c r="B10" s="5" t="s">
        <v>16</v>
      </c>
    </row>
    <row r="11" customFormat="false" ht="23.85" hidden="false" customHeight="false" outlineLevel="0" collapsed="false">
      <c r="A11" s="4" t="s">
        <v>17</v>
      </c>
      <c r="B11" s="5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60"/>
    <col collapsed="false" customWidth="true" hidden="false" outlineLevel="0" max="5" min="5" style="0" width="16"/>
    <col collapsed="false" customWidth="true" hidden="false" outlineLevel="0" max="6" min="6" style="0" width="42"/>
    <col collapsed="false" customWidth="true" hidden="false" outlineLevel="0" max="7" min="7" style="0" width="52"/>
  </cols>
  <sheetData>
    <row r="1" customFormat="false" ht="17.35" hidden="false" customHeight="false" outlineLevel="0" collapsed="false">
      <c r="A1" s="1" t="s">
        <v>19</v>
      </c>
    </row>
    <row r="3" customFormat="false" ht="15" hidden="false" customHeight="false" outlineLevel="0" collapsed="false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</row>
    <row r="4" customFormat="false" ht="15" hidden="false" customHeight="false" outlineLevel="0" collapsed="false">
      <c r="A4" s="7" t="n">
        <v>1</v>
      </c>
      <c r="B4" s="7" t="s">
        <v>27</v>
      </c>
      <c r="C4" s="7" t="s">
        <v>28</v>
      </c>
      <c r="D4" s="7" t="s">
        <v>29</v>
      </c>
      <c r="E4" s="7" t="s">
        <v>30</v>
      </c>
      <c r="F4" s="7" t="s">
        <v>31</v>
      </c>
      <c r="G4" s="7"/>
    </row>
    <row r="5" customFormat="false" ht="15" hidden="false" customHeight="false" outlineLevel="0" collapsed="false">
      <c r="A5" s="7" t="n">
        <v>2</v>
      </c>
      <c r="B5" s="7" t="s">
        <v>32</v>
      </c>
      <c r="C5" s="7" t="s">
        <v>28</v>
      </c>
      <c r="D5" s="7" t="s">
        <v>33</v>
      </c>
      <c r="E5" s="7" t="s">
        <v>30</v>
      </c>
      <c r="F5" s="7" t="s">
        <v>31</v>
      </c>
      <c r="G5" s="7"/>
    </row>
    <row r="6" customFormat="false" ht="23.85" hidden="false" customHeight="false" outlineLevel="0" collapsed="false">
      <c r="A6" s="7" t="n">
        <v>3</v>
      </c>
      <c r="B6" s="7" t="s">
        <v>34</v>
      </c>
      <c r="C6" s="7" t="s">
        <v>35</v>
      </c>
      <c r="D6" s="7" t="s">
        <v>36</v>
      </c>
      <c r="E6" s="7" t="s">
        <v>37</v>
      </c>
      <c r="F6" s="7" t="s">
        <v>38</v>
      </c>
      <c r="G6" s="7" t="s">
        <v>39</v>
      </c>
    </row>
    <row r="7" customFormat="false" ht="15" hidden="false" customHeight="false" outlineLevel="0" collapsed="false">
      <c r="A7" s="7" t="n">
        <v>4</v>
      </c>
      <c r="B7" s="7" t="s">
        <v>40</v>
      </c>
      <c r="C7" s="7" t="s">
        <v>35</v>
      </c>
      <c r="D7" s="7" t="s">
        <v>41</v>
      </c>
      <c r="E7" s="7" t="s">
        <v>42</v>
      </c>
      <c r="F7" s="7" t="s">
        <v>38</v>
      </c>
      <c r="G7" s="7"/>
    </row>
    <row r="8" customFormat="false" ht="15" hidden="false" customHeight="false" outlineLevel="0" collapsed="false">
      <c r="A8" s="7" t="n">
        <v>5</v>
      </c>
      <c r="B8" s="7" t="s">
        <v>43</v>
      </c>
      <c r="C8" s="7" t="s">
        <v>28</v>
      </c>
      <c r="D8" s="7" t="s">
        <v>44</v>
      </c>
      <c r="E8" s="7" t="s">
        <v>45</v>
      </c>
      <c r="F8" s="7" t="s">
        <v>46</v>
      </c>
      <c r="G8" s="7" t="s">
        <v>47</v>
      </c>
    </row>
    <row r="9" customFormat="false" ht="23.85" hidden="false" customHeight="false" outlineLevel="0" collapsed="false">
      <c r="A9" s="7" t="n">
        <v>6</v>
      </c>
      <c r="B9" s="7" t="s">
        <v>48</v>
      </c>
      <c r="C9" s="7" t="s">
        <v>49</v>
      </c>
      <c r="D9" s="7" t="s">
        <v>50</v>
      </c>
      <c r="E9" s="7" t="s">
        <v>51</v>
      </c>
      <c r="F9" s="7" t="s">
        <v>52</v>
      </c>
      <c r="G9" s="7" t="s">
        <v>53</v>
      </c>
    </row>
    <row r="10" customFormat="false" ht="15" hidden="false" customHeight="false" outlineLevel="0" collapsed="false">
      <c r="A10" s="7" t="n">
        <v>7</v>
      </c>
      <c r="B10" s="7" t="s">
        <v>54</v>
      </c>
      <c r="C10" s="7" t="s">
        <v>49</v>
      </c>
      <c r="D10" s="7" t="s">
        <v>55</v>
      </c>
      <c r="E10" s="7" t="s">
        <v>51</v>
      </c>
      <c r="F10" s="7" t="s">
        <v>56</v>
      </c>
      <c r="G10" s="7"/>
    </row>
    <row r="11" customFormat="false" ht="15" hidden="false" customHeight="false" outlineLevel="0" collapsed="false">
      <c r="A11" s="7" t="n">
        <v>8</v>
      </c>
      <c r="B11" s="7" t="s">
        <v>57</v>
      </c>
      <c r="C11" s="7" t="s">
        <v>49</v>
      </c>
      <c r="D11" s="7" t="s">
        <v>58</v>
      </c>
      <c r="E11" s="7" t="s">
        <v>51</v>
      </c>
      <c r="F11" s="7" t="s">
        <v>59</v>
      </c>
      <c r="G11" s="7" t="s">
        <v>60</v>
      </c>
    </row>
    <row r="12" customFormat="false" ht="15" hidden="false" customHeight="false" outlineLevel="0" collapsed="false">
      <c r="A12" s="7" t="n">
        <v>9</v>
      </c>
      <c r="B12" s="7" t="s">
        <v>61</v>
      </c>
      <c r="C12" s="7" t="s">
        <v>49</v>
      </c>
      <c r="D12" s="7" t="s">
        <v>62</v>
      </c>
      <c r="E12" s="7" t="s">
        <v>51</v>
      </c>
      <c r="F12" s="7" t="s">
        <v>56</v>
      </c>
      <c r="G12" s="7"/>
    </row>
    <row r="13" customFormat="false" ht="15" hidden="false" customHeight="false" outlineLevel="0" collapsed="false">
      <c r="A13" s="7" t="n">
        <v>10</v>
      </c>
      <c r="B13" s="7" t="s">
        <v>63</v>
      </c>
      <c r="C13" s="7" t="s">
        <v>49</v>
      </c>
      <c r="D13" s="7" t="s">
        <v>64</v>
      </c>
      <c r="E13" s="7" t="s">
        <v>51</v>
      </c>
      <c r="F13" s="7" t="s">
        <v>56</v>
      </c>
      <c r="G13" s="7"/>
    </row>
    <row r="14" customFormat="false" ht="15" hidden="false" customHeight="false" outlineLevel="0" collapsed="false">
      <c r="A14" s="7" t="n">
        <v>11</v>
      </c>
      <c r="B14" s="7" t="s">
        <v>65</v>
      </c>
      <c r="C14" s="7" t="s">
        <v>49</v>
      </c>
      <c r="D14" s="7" t="s">
        <v>66</v>
      </c>
      <c r="E14" s="7" t="s">
        <v>51</v>
      </c>
      <c r="F14" s="7" t="s">
        <v>59</v>
      </c>
      <c r="G14" s="7"/>
    </row>
    <row r="15" customFormat="false" ht="15" hidden="false" customHeight="false" outlineLevel="0" collapsed="false">
      <c r="A15" s="7" t="n">
        <v>12</v>
      </c>
      <c r="B15" s="7" t="s">
        <v>67</v>
      </c>
      <c r="C15" s="7" t="s">
        <v>68</v>
      </c>
      <c r="D15" s="7" t="s">
        <v>69</v>
      </c>
      <c r="E15" s="7" t="s">
        <v>70</v>
      </c>
      <c r="F15" s="7" t="s">
        <v>71</v>
      </c>
      <c r="G15" s="7" t="s">
        <v>72</v>
      </c>
    </row>
    <row r="16" customFormat="false" ht="15" hidden="false" customHeight="false" outlineLevel="0" collapsed="false">
      <c r="A16" s="7" t="n">
        <v>13</v>
      </c>
      <c r="B16" s="7" t="s">
        <v>73</v>
      </c>
      <c r="C16" s="7" t="s">
        <v>68</v>
      </c>
      <c r="D16" s="7" t="s">
        <v>74</v>
      </c>
      <c r="E16" s="7" t="s">
        <v>70</v>
      </c>
      <c r="F16" s="7" t="s">
        <v>75</v>
      </c>
      <c r="G16" s="7" t="s">
        <v>72</v>
      </c>
    </row>
    <row r="17" customFormat="false" ht="15" hidden="false" customHeight="false" outlineLevel="0" collapsed="false">
      <c r="A17" s="7" t="n">
        <v>14</v>
      </c>
      <c r="B17" s="7" t="s">
        <v>76</v>
      </c>
      <c r="C17" s="7" t="s">
        <v>68</v>
      </c>
      <c r="D17" s="7" t="s">
        <v>77</v>
      </c>
      <c r="E17" s="7" t="s">
        <v>78</v>
      </c>
      <c r="F17" s="7" t="s">
        <v>59</v>
      </c>
      <c r="G17" s="7" t="s">
        <v>79</v>
      </c>
    </row>
    <row r="18" customFormat="false" ht="15" hidden="false" customHeight="false" outlineLevel="0" collapsed="false">
      <c r="A18" s="7" t="n">
        <v>15</v>
      </c>
      <c r="B18" s="7" t="s">
        <v>80</v>
      </c>
      <c r="C18" s="7" t="s">
        <v>68</v>
      </c>
      <c r="D18" s="7" t="s">
        <v>81</v>
      </c>
      <c r="E18" s="7" t="s">
        <v>70</v>
      </c>
      <c r="F18" s="7" t="s">
        <v>82</v>
      </c>
      <c r="G18" s="7" t="s">
        <v>72</v>
      </c>
    </row>
    <row r="19" customFormat="false" ht="15" hidden="false" customHeight="false" outlineLevel="0" collapsed="false">
      <c r="A19" s="7" t="n">
        <v>16</v>
      </c>
      <c r="B19" s="7" t="s">
        <v>83</v>
      </c>
      <c r="C19" s="7" t="s">
        <v>68</v>
      </c>
      <c r="D19" s="7" t="s">
        <v>84</v>
      </c>
      <c r="E19" s="7" t="s">
        <v>70</v>
      </c>
      <c r="F19" s="7" t="s">
        <v>82</v>
      </c>
      <c r="G19" s="7" t="s">
        <v>72</v>
      </c>
    </row>
    <row r="20" customFormat="false" ht="15" hidden="false" customHeight="false" outlineLevel="0" collapsed="false">
      <c r="A20" s="7" t="n">
        <v>17</v>
      </c>
      <c r="B20" s="7" t="s">
        <v>85</v>
      </c>
      <c r="C20" s="7" t="s">
        <v>68</v>
      </c>
      <c r="D20" s="7" t="s">
        <v>86</v>
      </c>
      <c r="E20" s="7" t="s">
        <v>78</v>
      </c>
      <c r="F20" s="7" t="s">
        <v>59</v>
      </c>
      <c r="G20" s="7" t="s">
        <v>79</v>
      </c>
    </row>
    <row r="21" customFormat="false" ht="15" hidden="false" customHeight="false" outlineLevel="0" collapsed="false">
      <c r="A21" s="7" t="n">
        <v>18</v>
      </c>
      <c r="B21" s="7" t="s">
        <v>87</v>
      </c>
      <c r="C21" s="7" t="s">
        <v>68</v>
      </c>
      <c r="D21" s="7" t="s">
        <v>88</v>
      </c>
      <c r="E21" s="7" t="s">
        <v>70</v>
      </c>
      <c r="F21" s="7" t="s">
        <v>89</v>
      </c>
      <c r="G21" s="7" t="s">
        <v>72</v>
      </c>
    </row>
    <row r="22" customFormat="false" ht="15" hidden="false" customHeight="false" outlineLevel="0" collapsed="false">
      <c r="A22" s="7" t="n">
        <v>19</v>
      </c>
      <c r="B22" s="7" t="s">
        <v>90</v>
      </c>
      <c r="C22" s="7" t="s">
        <v>91</v>
      </c>
      <c r="D22" s="7" t="s">
        <v>92</v>
      </c>
      <c r="E22" s="7" t="s">
        <v>93</v>
      </c>
      <c r="F22" s="7" t="s">
        <v>94</v>
      </c>
      <c r="G22" s="7"/>
    </row>
    <row r="23" customFormat="false" ht="15" hidden="false" customHeight="false" outlineLevel="0" collapsed="false">
      <c r="A23" s="7" t="n">
        <v>20</v>
      </c>
      <c r="B23" s="7" t="s">
        <v>95</v>
      </c>
      <c r="C23" s="7" t="s">
        <v>91</v>
      </c>
      <c r="D23" s="7" t="s">
        <v>96</v>
      </c>
      <c r="E23" s="7" t="s">
        <v>97</v>
      </c>
      <c r="F23" s="7" t="s">
        <v>98</v>
      </c>
      <c r="G23" s="7"/>
    </row>
    <row r="24" customFormat="false" ht="23.85" hidden="false" customHeight="false" outlineLevel="0" collapsed="false">
      <c r="A24" s="7" t="n">
        <v>21</v>
      </c>
      <c r="B24" s="7" t="s">
        <v>99</v>
      </c>
      <c r="C24" s="7" t="s">
        <v>100</v>
      </c>
      <c r="D24" s="7" t="s">
        <v>101</v>
      </c>
      <c r="E24" s="7" t="s">
        <v>102</v>
      </c>
      <c r="F24" s="7" t="s">
        <v>103</v>
      </c>
      <c r="G24" s="7" t="s">
        <v>104</v>
      </c>
    </row>
    <row r="25" customFormat="false" ht="15" hidden="false" customHeight="false" outlineLevel="0" collapsed="false">
      <c r="A25" s="7" t="n">
        <v>22</v>
      </c>
      <c r="B25" s="7" t="s">
        <v>105</v>
      </c>
      <c r="C25" s="7" t="s">
        <v>100</v>
      </c>
      <c r="D25" s="7" t="s">
        <v>106</v>
      </c>
      <c r="E25" s="7" t="s">
        <v>102</v>
      </c>
      <c r="F25" s="7" t="s">
        <v>107</v>
      </c>
      <c r="G25" s="7"/>
    </row>
    <row r="26" customFormat="false" ht="15" hidden="false" customHeight="false" outlineLevel="0" collapsed="false">
      <c r="A26" s="7" t="n">
        <v>23</v>
      </c>
      <c r="B26" s="7" t="s">
        <v>108</v>
      </c>
      <c r="C26" s="7" t="s">
        <v>100</v>
      </c>
      <c r="D26" s="7" t="s">
        <v>109</v>
      </c>
      <c r="E26" s="7" t="s">
        <v>102</v>
      </c>
      <c r="F26" s="7" t="s">
        <v>107</v>
      </c>
      <c r="G26" s="7"/>
    </row>
    <row r="27" customFormat="false" ht="15" hidden="false" customHeight="false" outlineLevel="0" collapsed="false">
      <c r="A27" s="7" t="n">
        <v>24</v>
      </c>
      <c r="B27" s="7" t="s">
        <v>110</v>
      </c>
      <c r="C27" s="7" t="s">
        <v>111</v>
      </c>
      <c r="D27" s="7" t="s">
        <v>112</v>
      </c>
      <c r="E27" s="7" t="s">
        <v>113</v>
      </c>
      <c r="F27" s="7" t="s">
        <v>114</v>
      </c>
      <c r="G27" s="7" t="s">
        <v>115</v>
      </c>
    </row>
    <row r="28" customFormat="false" ht="15" hidden="false" customHeight="false" outlineLevel="0" collapsed="false">
      <c r="A28" s="7" t="n">
        <v>25</v>
      </c>
      <c r="B28" s="7" t="s">
        <v>116</v>
      </c>
      <c r="C28" s="7" t="s">
        <v>117</v>
      </c>
      <c r="D28" s="7" t="s">
        <v>118</v>
      </c>
      <c r="E28" s="7" t="s">
        <v>45</v>
      </c>
      <c r="F28" s="7" t="s">
        <v>38</v>
      </c>
      <c r="G28" s="7" t="s">
        <v>119</v>
      </c>
    </row>
    <row r="29" customFormat="false" ht="15" hidden="false" customHeight="false" outlineLevel="0" collapsed="false">
      <c r="A29" s="7" t="n">
        <v>26</v>
      </c>
      <c r="B29" s="7" t="s">
        <v>120</v>
      </c>
      <c r="C29" s="7" t="s">
        <v>117</v>
      </c>
      <c r="D29" s="7" t="s">
        <v>121</v>
      </c>
      <c r="E29" s="7" t="s">
        <v>37</v>
      </c>
      <c r="F29" s="7" t="s">
        <v>38</v>
      </c>
      <c r="G29" s="7"/>
    </row>
    <row r="30" customFormat="false" ht="15" hidden="false" customHeight="false" outlineLevel="0" collapsed="false">
      <c r="A30" s="7" t="n">
        <v>27</v>
      </c>
      <c r="B30" s="7" t="s">
        <v>122</v>
      </c>
      <c r="C30" s="7" t="s">
        <v>117</v>
      </c>
      <c r="D30" s="7" t="s">
        <v>123</v>
      </c>
      <c r="E30" s="7" t="s">
        <v>37</v>
      </c>
      <c r="F30" s="7" t="s">
        <v>38</v>
      </c>
      <c r="G30" s="7"/>
    </row>
    <row r="31" customFormat="false" ht="23.85" hidden="false" customHeight="false" outlineLevel="0" collapsed="false">
      <c r="A31" s="7" t="n">
        <v>28</v>
      </c>
      <c r="B31" s="7" t="s">
        <v>124</v>
      </c>
      <c r="C31" s="7" t="s">
        <v>125</v>
      </c>
      <c r="D31" s="7" t="s">
        <v>126</v>
      </c>
      <c r="E31" s="7" t="s">
        <v>45</v>
      </c>
      <c r="F31" s="7" t="s">
        <v>127</v>
      </c>
      <c r="G31" s="7" t="s">
        <v>128</v>
      </c>
    </row>
    <row r="32" customFormat="false" ht="15" hidden="false" customHeight="false" outlineLevel="0" collapsed="false">
      <c r="A32" s="7" t="n">
        <v>29</v>
      </c>
      <c r="B32" s="7" t="s">
        <v>129</v>
      </c>
      <c r="C32" s="7" t="s">
        <v>130</v>
      </c>
      <c r="D32" s="7" t="s">
        <v>131</v>
      </c>
      <c r="E32" s="7" t="s">
        <v>42</v>
      </c>
      <c r="F32" s="7" t="s">
        <v>59</v>
      </c>
      <c r="G32" s="7" t="s">
        <v>132</v>
      </c>
    </row>
    <row r="33" customFormat="false" ht="15" hidden="false" customHeight="false" outlineLevel="0" collapsed="false">
      <c r="A33" s="7" t="n">
        <v>30</v>
      </c>
      <c r="B33" s="7" t="s">
        <v>133</v>
      </c>
      <c r="C33" s="7" t="s">
        <v>130</v>
      </c>
      <c r="D33" s="7" t="s">
        <v>134</v>
      </c>
      <c r="E33" s="7" t="s">
        <v>135</v>
      </c>
      <c r="F33" s="7" t="s">
        <v>59</v>
      </c>
      <c r="G33" s="7" t="s">
        <v>136</v>
      </c>
    </row>
    <row r="34" customFormat="false" ht="15" hidden="false" customHeight="false" outlineLevel="0" collapsed="false">
      <c r="A34" s="7" t="n">
        <v>31</v>
      </c>
      <c r="B34" s="7" t="s">
        <v>137</v>
      </c>
      <c r="C34" s="7" t="s">
        <v>91</v>
      </c>
      <c r="D34" s="7" t="s">
        <v>138</v>
      </c>
      <c r="E34" s="7" t="s">
        <v>93</v>
      </c>
      <c r="F34" s="7" t="s">
        <v>139</v>
      </c>
      <c r="G34" s="7" t="s">
        <v>140</v>
      </c>
    </row>
    <row r="35" customFormat="false" ht="15" hidden="false" customHeight="false" outlineLevel="0" collapsed="false">
      <c r="A35" s="7" t="n">
        <v>32</v>
      </c>
      <c r="B35" s="7" t="s">
        <v>141</v>
      </c>
      <c r="C35" s="7" t="s">
        <v>142</v>
      </c>
      <c r="D35" s="7" t="s">
        <v>143</v>
      </c>
      <c r="E35" s="7" t="s">
        <v>144</v>
      </c>
      <c r="F35" s="7" t="s">
        <v>145</v>
      </c>
      <c r="G35" s="7" t="s">
        <v>146</v>
      </c>
    </row>
    <row r="36" customFormat="false" ht="15" hidden="false" customHeight="false" outlineLevel="0" collapsed="false">
      <c r="A36" s="7" t="n">
        <v>33</v>
      </c>
      <c r="B36" s="7" t="s">
        <v>147</v>
      </c>
      <c r="C36" s="7" t="s">
        <v>148</v>
      </c>
      <c r="D36" s="7" t="s">
        <v>149</v>
      </c>
      <c r="E36" s="7" t="s">
        <v>150</v>
      </c>
      <c r="F36" s="7" t="s">
        <v>151</v>
      </c>
      <c r="G36" s="7" t="s">
        <v>152</v>
      </c>
    </row>
    <row r="37" customFormat="false" ht="15" hidden="false" customHeight="false" outlineLevel="0" collapsed="false">
      <c r="A37" s="7" t="n">
        <v>34</v>
      </c>
      <c r="B37" s="7" t="s">
        <v>153</v>
      </c>
      <c r="C37" s="7" t="s">
        <v>154</v>
      </c>
      <c r="D37" s="7" t="s">
        <v>155</v>
      </c>
      <c r="E37" s="7" t="s">
        <v>113</v>
      </c>
      <c r="F37" s="7" t="s">
        <v>127</v>
      </c>
      <c r="G37" s="7"/>
    </row>
    <row r="38" customFormat="false" ht="15" hidden="false" customHeight="false" outlineLevel="0" collapsed="false">
      <c r="A38" s="7" t="n">
        <v>35</v>
      </c>
      <c r="B38" s="7" t="s">
        <v>156</v>
      </c>
      <c r="C38" s="7" t="s">
        <v>154</v>
      </c>
      <c r="D38" s="7" t="s">
        <v>157</v>
      </c>
      <c r="E38" s="7" t="s">
        <v>158</v>
      </c>
      <c r="F38" s="7" t="s">
        <v>127</v>
      </c>
      <c r="G38" s="7" t="s">
        <v>159</v>
      </c>
    </row>
    <row r="39" customFormat="false" ht="15" hidden="false" customHeight="false" outlineLevel="0" collapsed="false">
      <c r="A39" s="7" t="n">
        <v>36</v>
      </c>
      <c r="B39" s="7" t="s">
        <v>160</v>
      </c>
      <c r="C39" s="7" t="s">
        <v>154</v>
      </c>
      <c r="D39" s="7" t="s">
        <v>161</v>
      </c>
      <c r="E39" s="7" t="s">
        <v>158</v>
      </c>
      <c r="F39" s="7" t="s">
        <v>127</v>
      </c>
      <c r="G39" s="7"/>
    </row>
    <row r="40" customFormat="false" ht="15" hidden="false" customHeight="false" outlineLevel="0" collapsed="false">
      <c r="A40" s="7" t="n">
        <v>37</v>
      </c>
      <c r="B40" s="7" t="s">
        <v>162</v>
      </c>
      <c r="C40" s="7" t="s">
        <v>163</v>
      </c>
      <c r="D40" s="7" t="s">
        <v>164</v>
      </c>
      <c r="E40" s="7" t="s">
        <v>113</v>
      </c>
      <c r="F40" s="7" t="s">
        <v>127</v>
      </c>
      <c r="G40" s="7"/>
    </row>
    <row r="41" customFormat="false" ht="15" hidden="false" customHeight="false" outlineLevel="0" collapsed="false">
      <c r="A41" s="7" t="n">
        <v>38</v>
      </c>
      <c r="B41" s="7" t="s">
        <v>165</v>
      </c>
      <c r="C41" s="7" t="s">
        <v>163</v>
      </c>
      <c r="D41" s="7" t="s">
        <v>166</v>
      </c>
      <c r="E41" s="7" t="s">
        <v>113</v>
      </c>
      <c r="F41" s="7" t="s">
        <v>127</v>
      </c>
      <c r="G41" s="7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3" min="3" style="0" width="22"/>
    <col collapsed="false" customWidth="true" hidden="false" outlineLevel="0" max="5" min="4" style="0" width="26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168</v>
      </c>
    </row>
    <row r="3" customFormat="false" ht="15" hidden="false" customHeight="false" outlineLevel="0" collapsed="false">
      <c r="A3" s="6" t="s">
        <v>169</v>
      </c>
      <c r="B3" s="6" t="s">
        <v>170</v>
      </c>
      <c r="C3" s="6" t="s">
        <v>171</v>
      </c>
      <c r="D3" s="6" t="s">
        <v>172</v>
      </c>
      <c r="E3" s="6" t="s">
        <v>173</v>
      </c>
      <c r="F3" s="6" t="s">
        <v>174</v>
      </c>
    </row>
    <row r="4" customFormat="false" ht="23.85" hidden="false" customHeight="false" outlineLevel="0" collapsed="false">
      <c r="A4" s="7" t="s">
        <v>175</v>
      </c>
      <c r="B4" s="7" t="s">
        <v>56</v>
      </c>
      <c r="C4" s="7" t="s">
        <v>176</v>
      </c>
      <c r="D4" s="7" t="s">
        <v>177</v>
      </c>
      <c r="E4" s="8" t="s">
        <v>178</v>
      </c>
      <c r="F4" s="7" t="s">
        <v>179</v>
      </c>
    </row>
    <row r="5" customFormat="false" ht="23.85" hidden="false" customHeight="false" outlineLevel="0" collapsed="false">
      <c r="A5" s="7" t="s">
        <v>180</v>
      </c>
      <c r="B5" s="7" t="s">
        <v>181</v>
      </c>
      <c r="C5" s="7" t="s">
        <v>182</v>
      </c>
      <c r="D5" s="7" t="s">
        <v>183</v>
      </c>
      <c r="E5" s="8" t="s">
        <v>178</v>
      </c>
      <c r="F5" s="7" t="s">
        <v>184</v>
      </c>
    </row>
    <row r="6" customFormat="false" ht="23.85" hidden="false" customHeight="false" outlineLevel="0" collapsed="false">
      <c r="A6" s="7" t="s">
        <v>185</v>
      </c>
      <c r="B6" s="7" t="s">
        <v>186</v>
      </c>
      <c r="C6" s="7" t="s">
        <v>187</v>
      </c>
      <c r="D6" s="7" t="s">
        <v>188</v>
      </c>
      <c r="E6" s="8" t="s">
        <v>178</v>
      </c>
      <c r="F6" s="7" t="s">
        <v>189</v>
      </c>
    </row>
    <row r="7" customFormat="false" ht="15" hidden="false" customHeight="false" outlineLevel="0" collapsed="false">
      <c r="A7" s="7" t="s">
        <v>190</v>
      </c>
      <c r="B7" s="7" t="s">
        <v>94</v>
      </c>
      <c r="C7" s="7" t="s">
        <v>90</v>
      </c>
      <c r="D7" s="7" t="s">
        <v>191</v>
      </c>
      <c r="E7" s="8" t="s">
        <v>178</v>
      </c>
      <c r="F7" s="7" t="s">
        <v>192</v>
      </c>
    </row>
    <row r="8" customFormat="false" ht="15" hidden="false" customHeight="false" outlineLevel="0" collapsed="false">
      <c r="A8" s="7" t="s">
        <v>193</v>
      </c>
      <c r="B8" s="7" t="s">
        <v>194</v>
      </c>
      <c r="C8" s="7" t="s">
        <v>195</v>
      </c>
      <c r="D8" s="7" t="s">
        <v>196</v>
      </c>
      <c r="E8" s="8" t="s">
        <v>178</v>
      </c>
      <c r="F8" s="7" t="s">
        <v>197</v>
      </c>
    </row>
    <row r="9" customFormat="false" ht="23.85" hidden="false" customHeight="false" outlineLevel="0" collapsed="false">
      <c r="A9" s="7" t="s">
        <v>198</v>
      </c>
      <c r="B9" s="7" t="s">
        <v>145</v>
      </c>
      <c r="C9" s="7" t="s">
        <v>199</v>
      </c>
      <c r="D9" s="7" t="s">
        <v>200</v>
      </c>
      <c r="E9" s="8" t="s">
        <v>178</v>
      </c>
      <c r="F9" s="7" t="s">
        <v>201</v>
      </c>
    </row>
    <row r="10" customFormat="false" ht="23.85" hidden="false" customHeight="false" outlineLevel="0" collapsed="false">
      <c r="A10" s="7" t="s">
        <v>202</v>
      </c>
      <c r="B10" s="7" t="s">
        <v>203</v>
      </c>
      <c r="C10" s="7" t="s">
        <v>204</v>
      </c>
      <c r="D10" s="7" t="s">
        <v>205</v>
      </c>
      <c r="E10" s="9" t="s">
        <v>206</v>
      </c>
      <c r="F10" s="7" t="s">
        <v>207</v>
      </c>
    </row>
    <row r="11" customFormat="false" ht="23.85" hidden="false" customHeight="false" outlineLevel="0" collapsed="false">
      <c r="A11" s="7" t="s">
        <v>208</v>
      </c>
      <c r="B11" s="7" t="s">
        <v>209</v>
      </c>
      <c r="C11" s="7" t="s">
        <v>210</v>
      </c>
      <c r="D11" s="7" t="s">
        <v>211</v>
      </c>
      <c r="E11" s="9" t="s">
        <v>212</v>
      </c>
      <c r="F11" s="7" t="s">
        <v>213</v>
      </c>
    </row>
    <row r="12" customFormat="false" ht="15" hidden="false" customHeight="false" outlineLevel="0" collapsed="false">
      <c r="A12" s="7" t="s">
        <v>214</v>
      </c>
      <c r="B12" s="7" t="s">
        <v>151</v>
      </c>
      <c r="C12" s="7" t="s">
        <v>215</v>
      </c>
      <c r="D12" s="7" t="s">
        <v>216</v>
      </c>
      <c r="E12" s="8" t="s">
        <v>178</v>
      </c>
      <c r="F12" s="7" t="s">
        <v>217</v>
      </c>
    </row>
    <row r="13" customFormat="false" ht="15" hidden="false" customHeight="false" outlineLevel="0" collapsed="false">
      <c r="A13" s="7" t="s">
        <v>218</v>
      </c>
      <c r="B13" s="7" t="s">
        <v>219</v>
      </c>
      <c r="C13" s="7" t="s">
        <v>220</v>
      </c>
      <c r="D13" s="7" t="s">
        <v>221</v>
      </c>
      <c r="E13" s="8" t="s">
        <v>178</v>
      </c>
      <c r="F13" s="7" t="s">
        <v>222</v>
      </c>
    </row>
    <row r="14" customFormat="false" ht="23.85" hidden="false" customHeight="false" outlineLevel="0" collapsed="false">
      <c r="A14" s="7" t="s">
        <v>223</v>
      </c>
      <c r="B14" s="7" t="s">
        <v>224</v>
      </c>
      <c r="C14" s="7" t="s">
        <v>225</v>
      </c>
      <c r="D14" s="7" t="s">
        <v>226</v>
      </c>
      <c r="E14" s="9" t="s">
        <v>227</v>
      </c>
      <c r="F14" s="7" t="s">
        <v>228</v>
      </c>
    </row>
    <row r="15" customFormat="false" ht="23.85" hidden="false" customHeight="false" outlineLevel="0" collapsed="false">
      <c r="A15" s="7" t="s">
        <v>229</v>
      </c>
      <c r="B15" s="7" t="s">
        <v>230</v>
      </c>
      <c r="C15" s="7" t="s">
        <v>225</v>
      </c>
      <c r="D15" s="7" t="s">
        <v>225</v>
      </c>
      <c r="E15" s="9" t="s">
        <v>231</v>
      </c>
      <c r="F15" s="7" t="s">
        <v>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233</v>
      </c>
    </row>
    <row r="3" customFormat="false" ht="15" hidden="false" customHeight="false" outlineLevel="0" collapsed="false">
      <c r="A3" s="6" t="s">
        <v>234</v>
      </c>
      <c r="B3" s="6" t="s">
        <v>235</v>
      </c>
      <c r="C3" s="6" t="s">
        <v>236</v>
      </c>
      <c r="D3" s="6" t="s">
        <v>237</v>
      </c>
      <c r="E3" s="6" t="s">
        <v>238</v>
      </c>
    </row>
    <row r="4" customFormat="false" ht="23.85" hidden="false" customHeight="false" outlineLevel="0" collapsed="false">
      <c r="A4" s="7" t="s">
        <v>239</v>
      </c>
      <c r="B4" s="10" t="n">
        <v>-3</v>
      </c>
      <c r="C4" s="7" t="s">
        <v>51</v>
      </c>
      <c r="D4" s="7" t="s">
        <v>240</v>
      </c>
      <c r="E4" s="7" t="s">
        <v>241</v>
      </c>
    </row>
    <row r="5" customFormat="false" ht="15" hidden="false" customHeight="false" outlineLevel="0" collapsed="false">
      <c r="A5" s="7" t="s">
        <v>242</v>
      </c>
      <c r="B5" s="10" t="s">
        <v>243</v>
      </c>
      <c r="C5" s="7" t="s">
        <v>244</v>
      </c>
      <c r="D5" s="7" t="s">
        <v>245</v>
      </c>
      <c r="E5" s="7" t="s">
        <v>246</v>
      </c>
    </row>
    <row r="6" customFormat="false" ht="15" hidden="false" customHeight="false" outlineLevel="0" collapsed="false">
      <c r="A6" s="7" t="s">
        <v>247</v>
      </c>
      <c r="B6" s="10" t="n">
        <v>-2</v>
      </c>
      <c r="C6" s="7" t="s">
        <v>51</v>
      </c>
      <c r="D6" s="7" t="s">
        <v>248</v>
      </c>
      <c r="E6" s="7" t="s">
        <v>249</v>
      </c>
    </row>
    <row r="7" customFormat="false" ht="15" hidden="false" customHeight="false" outlineLevel="0" collapsed="false">
      <c r="A7" s="7" t="s">
        <v>250</v>
      </c>
      <c r="B7" s="10" t="n">
        <v>-16</v>
      </c>
      <c r="C7" s="7" t="s">
        <v>51</v>
      </c>
      <c r="D7" s="7" t="s">
        <v>251</v>
      </c>
      <c r="E7" s="7" t="s">
        <v>252</v>
      </c>
    </row>
    <row r="8" customFormat="false" ht="15" hidden="false" customHeight="false" outlineLevel="0" collapsed="false">
      <c r="A8" s="7" t="s">
        <v>253</v>
      </c>
      <c r="B8" s="10" t="n">
        <v>2</v>
      </c>
      <c r="C8" s="7" t="s">
        <v>51</v>
      </c>
      <c r="D8" s="7" t="s">
        <v>254</v>
      </c>
      <c r="E8" s="7" t="s">
        <v>255</v>
      </c>
    </row>
    <row r="9" customFormat="false" ht="15" hidden="false" customHeight="false" outlineLevel="0" collapsed="false">
      <c r="A9" s="7" t="s">
        <v>256</v>
      </c>
      <c r="B9" s="10" t="n">
        <v>-1.5</v>
      </c>
      <c r="C9" s="7" t="s">
        <v>51</v>
      </c>
      <c r="D9" s="7" t="s">
        <v>257</v>
      </c>
      <c r="E9" s="7" t="s">
        <v>258</v>
      </c>
    </row>
    <row r="10" customFormat="false" ht="15" hidden="false" customHeight="false" outlineLevel="0" collapsed="false">
      <c r="A10" s="7" t="s">
        <v>259</v>
      </c>
      <c r="B10" s="10" t="n">
        <v>3</v>
      </c>
      <c r="C10" s="7" t="s">
        <v>51</v>
      </c>
      <c r="D10" s="7" t="s">
        <v>260</v>
      </c>
      <c r="E10" s="7" t="s">
        <v>261</v>
      </c>
    </row>
    <row r="11" customFormat="false" ht="15" hidden="false" customHeight="false" outlineLevel="0" collapsed="false">
      <c r="A11" s="7" t="s">
        <v>262</v>
      </c>
      <c r="B11" s="10" t="n">
        <v>5</v>
      </c>
      <c r="C11" s="7" t="s">
        <v>263</v>
      </c>
      <c r="D11" s="7" t="s">
        <v>264</v>
      </c>
      <c r="E11" s="7" t="s">
        <v>265</v>
      </c>
    </row>
    <row r="12" customFormat="false" ht="15" hidden="false" customHeight="false" outlineLevel="0" collapsed="false">
      <c r="A12" s="7" t="s">
        <v>266</v>
      </c>
      <c r="B12" s="10" t="n">
        <v>15</v>
      </c>
      <c r="C12" s="7" t="s">
        <v>93</v>
      </c>
      <c r="D12" s="7" t="s">
        <v>267</v>
      </c>
      <c r="E12" s="7" t="s">
        <v>268</v>
      </c>
    </row>
    <row r="13" customFormat="false" ht="15" hidden="false" customHeight="false" outlineLevel="0" collapsed="false">
      <c r="A13" s="7" t="s">
        <v>269</v>
      </c>
      <c r="B13" s="10" t="n">
        <v>50</v>
      </c>
      <c r="C13" s="7" t="s">
        <v>144</v>
      </c>
      <c r="D13" s="7" t="s">
        <v>270</v>
      </c>
      <c r="E13" s="7" t="s">
        <v>271</v>
      </c>
    </row>
    <row r="14" customFormat="false" ht="15" hidden="false" customHeight="false" outlineLevel="0" collapsed="false">
      <c r="A14" s="7" t="s">
        <v>272</v>
      </c>
      <c r="B14" s="10" t="n">
        <v>30</v>
      </c>
      <c r="C14" s="7" t="s">
        <v>93</v>
      </c>
      <c r="D14" s="7" t="s">
        <v>273</v>
      </c>
      <c r="E14" s="7" t="s">
        <v>274</v>
      </c>
    </row>
    <row r="15" customFormat="false" ht="15" hidden="false" customHeight="false" outlineLevel="0" collapsed="false">
      <c r="A15" s="7" t="s">
        <v>275</v>
      </c>
      <c r="B15" s="10" t="n">
        <v>0</v>
      </c>
      <c r="C15" s="7" t="s">
        <v>276</v>
      </c>
      <c r="D15" s="7" t="s">
        <v>277</v>
      </c>
      <c r="E15" s="7" t="s">
        <v>278</v>
      </c>
    </row>
    <row r="16" customFormat="false" ht="15" hidden="false" customHeight="false" outlineLevel="0" collapsed="false">
      <c r="A16" s="7" t="s">
        <v>279</v>
      </c>
      <c r="B16" s="10" t="n">
        <v>4</v>
      </c>
      <c r="C16" s="7" t="s">
        <v>280</v>
      </c>
      <c r="D16" s="7" t="s">
        <v>281</v>
      </c>
      <c r="E16" s="7" t="s">
        <v>282</v>
      </c>
    </row>
    <row r="17" customFormat="false" ht="15" hidden="false" customHeight="false" outlineLevel="0" collapsed="false">
      <c r="A17" s="7" t="s">
        <v>283</v>
      </c>
      <c r="B17" s="10" t="n">
        <v>0.6</v>
      </c>
      <c r="C17" s="7" t="s">
        <v>284</v>
      </c>
      <c r="D17" s="7" t="s">
        <v>285</v>
      </c>
      <c r="E17" s="7" t="s">
        <v>286</v>
      </c>
    </row>
    <row r="18" customFormat="false" ht="15" hidden="false" customHeight="false" outlineLevel="0" collapsed="false">
      <c r="A18" s="7" t="s">
        <v>287</v>
      </c>
      <c r="B18" s="10" t="n">
        <v>30</v>
      </c>
      <c r="C18" s="7" t="s">
        <v>93</v>
      </c>
      <c r="D18" s="7" t="s">
        <v>288</v>
      </c>
      <c r="E18" s="7" t="s">
        <v>289</v>
      </c>
    </row>
    <row r="19" customFormat="false" ht="15" hidden="false" customHeight="false" outlineLevel="0" collapsed="false">
      <c r="A19" s="7" t="s">
        <v>290</v>
      </c>
      <c r="B19" s="10" t="n">
        <v>30</v>
      </c>
      <c r="C19" s="7" t="s">
        <v>93</v>
      </c>
      <c r="D19" s="7" t="s">
        <v>291</v>
      </c>
      <c r="E19" s="7" t="s">
        <v>292</v>
      </c>
    </row>
    <row r="20" customFormat="false" ht="15" hidden="false" customHeight="false" outlineLevel="0" collapsed="false">
      <c r="A20" s="7" t="s">
        <v>293</v>
      </c>
      <c r="B20" s="10" t="n">
        <v>0.25</v>
      </c>
      <c r="C20" s="7" t="s">
        <v>263</v>
      </c>
      <c r="D20" s="7" t="s">
        <v>294</v>
      </c>
      <c r="E20" s="7" t="s">
        <v>295</v>
      </c>
    </row>
    <row r="22" customFormat="false" ht="15" hidden="false" customHeight="false" outlineLevel="0" collapsed="false">
      <c r="A22" s="11" t="s">
        <v>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7" min="4" style="0" width="12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4" min="11" style="0" width="13"/>
    <col collapsed="false" customWidth="true" hidden="false" outlineLevel="0" max="15" min="15" style="0" width="14"/>
    <col collapsed="false" customWidth="true" hidden="false" outlineLevel="0" max="16" min="16" style="0" width="40"/>
  </cols>
  <sheetData>
    <row r="1" customFormat="false" ht="17.35" hidden="false" customHeight="false" outlineLevel="0" collapsed="false">
      <c r="A1" s="1" t="s">
        <v>297</v>
      </c>
    </row>
    <row r="2" customFormat="false" ht="15" hidden="false" customHeight="false" outlineLevel="0" collapsed="false">
      <c r="A2" s="11" t="s">
        <v>298</v>
      </c>
    </row>
    <row r="3" customFormat="false" ht="15" hidden="false" customHeight="false" outlineLevel="0" collapsed="false">
      <c r="A3" s="11" t="s">
        <v>299</v>
      </c>
    </row>
    <row r="4" customFormat="false" ht="35.05" hidden="false" customHeight="false" outlineLevel="0" collapsed="false">
      <c r="A4" s="6" t="s">
        <v>300</v>
      </c>
      <c r="B4" s="6" t="s">
        <v>301</v>
      </c>
      <c r="C4" s="6" t="s">
        <v>302</v>
      </c>
      <c r="D4" s="6" t="s">
        <v>303</v>
      </c>
      <c r="E4" s="6" t="s">
        <v>304</v>
      </c>
      <c r="F4" s="6" t="s">
        <v>305</v>
      </c>
      <c r="G4" s="6" t="s">
        <v>306</v>
      </c>
      <c r="H4" s="6" t="s">
        <v>307</v>
      </c>
      <c r="I4" s="6" t="s">
        <v>308</v>
      </c>
      <c r="J4" s="6" t="s">
        <v>309</v>
      </c>
      <c r="K4" s="6" t="s">
        <v>310</v>
      </c>
      <c r="L4" s="6" t="s">
        <v>311</v>
      </c>
      <c r="M4" s="6" t="s">
        <v>312</v>
      </c>
      <c r="N4" s="6" t="s">
        <v>313</v>
      </c>
      <c r="O4" s="6" t="s">
        <v>173</v>
      </c>
      <c r="P4" s="6" t="s">
        <v>314</v>
      </c>
    </row>
    <row r="5" customFormat="false" ht="15" hidden="false" customHeight="false" outlineLevel="0" collapsed="false">
      <c r="A5" s="12" t="s">
        <v>315</v>
      </c>
      <c r="B5" s="12" t="n">
        <v>2018</v>
      </c>
      <c r="C5" s="13" t="s">
        <v>316</v>
      </c>
      <c r="D5" s="14" t="n">
        <v>43160</v>
      </c>
      <c r="E5" s="14" t="n">
        <v>43220</v>
      </c>
      <c r="F5" s="14" t="n">
        <v>43282</v>
      </c>
      <c r="G5" s="14" t="n">
        <v>43295</v>
      </c>
      <c r="H5" s="15" t="n">
        <f aca="false">ROUND((F5+G5)/2,0)</f>
        <v>43289</v>
      </c>
      <c r="I5" s="12" t="n">
        <f aca="false">G5-F5+1</f>
        <v>14</v>
      </c>
      <c r="J5" s="12" t="str">
        <f aca="false">IF(I5&gt;=12,"OK","SHORT (&lt;12 d)")</f>
        <v>OK</v>
      </c>
      <c r="K5" s="15" t="n">
        <f aca="false">H5</f>
        <v>43289</v>
      </c>
      <c r="L5" s="15" t="n">
        <f aca="false">H5-2</f>
        <v>43287</v>
      </c>
      <c r="M5" s="15" t="n">
        <f aca="false">H5-6</f>
        <v>43283</v>
      </c>
      <c r="N5" s="12" t="str">
        <f aca="false">IF(E5&lt;F5,"OK","ERROR")</f>
        <v>OK</v>
      </c>
      <c r="O5" s="12" t="s">
        <v>317</v>
      </c>
      <c r="P5" s="16"/>
    </row>
    <row r="6" customFormat="false" ht="15" hidden="false" customHeight="false" outlineLevel="0" collapsed="false">
      <c r="A6" s="12" t="s">
        <v>318</v>
      </c>
      <c r="B6" s="12" t="n">
        <v>2019</v>
      </c>
      <c r="C6" s="13" t="s">
        <v>316</v>
      </c>
      <c r="D6" s="14" t="n">
        <v>43525</v>
      </c>
      <c r="E6" s="14" t="n">
        <v>43585</v>
      </c>
      <c r="F6" s="14" t="n">
        <v>43647</v>
      </c>
      <c r="G6" s="14" t="n">
        <v>43660</v>
      </c>
      <c r="H6" s="15" t="n">
        <f aca="false">ROUND((F6+G6)/2,0)</f>
        <v>43654</v>
      </c>
      <c r="I6" s="12" t="n">
        <f aca="false">G6-F6+1</f>
        <v>14</v>
      </c>
      <c r="J6" s="12" t="str">
        <f aca="false">IF(I6&gt;=12,"OK","SHORT (&lt;12 d)")</f>
        <v>OK</v>
      </c>
      <c r="K6" s="15" t="n">
        <f aca="false">H6</f>
        <v>43654</v>
      </c>
      <c r="L6" s="15" t="n">
        <f aca="false">H6-2</f>
        <v>43652</v>
      </c>
      <c r="M6" s="15" t="n">
        <f aca="false">H6-6</f>
        <v>43648</v>
      </c>
      <c r="N6" s="12" t="str">
        <f aca="false">IF(E6&lt;F6,"OK","ERROR")</f>
        <v>OK</v>
      </c>
      <c r="O6" s="12" t="s">
        <v>317</v>
      </c>
      <c r="P6" s="16"/>
    </row>
    <row r="7" customFormat="false" ht="15" hidden="false" customHeight="false" outlineLevel="0" collapsed="false">
      <c r="A7" s="12" t="s">
        <v>319</v>
      </c>
      <c r="B7" s="12" t="n">
        <v>2020</v>
      </c>
      <c r="C7" s="13" t="s">
        <v>316</v>
      </c>
      <c r="D7" s="14" t="n">
        <v>43891</v>
      </c>
      <c r="E7" s="14" t="n">
        <v>43951</v>
      </c>
      <c r="F7" s="14" t="n">
        <v>44013</v>
      </c>
      <c r="G7" s="14" t="n">
        <v>44026</v>
      </c>
      <c r="H7" s="15" t="n">
        <f aca="false">ROUND((F7+G7)/2,0)</f>
        <v>44020</v>
      </c>
      <c r="I7" s="12" t="n">
        <f aca="false">G7-F7+1</f>
        <v>14</v>
      </c>
      <c r="J7" s="12" t="str">
        <f aca="false">IF(I7&gt;=12,"OK","SHORT (&lt;12 d)")</f>
        <v>OK</v>
      </c>
      <c r="K7" s="15" t="n">
        <f aca="false">H7</f>
        <v>44020</v>
      </c>
      <c r="L7" s="15" t="n">
        <f aca="false">H7-2</f>
        <v>44018</v>
      </c>
      <c r="M7" s="15" t="n">
        <f aca="false">H7-6</f>
        <v>44014</v>
      </c>
      <c r="N7" s="12" t="str">
        <f aca="false">IF(E7&lt;F7,"OK","ERROR")</f>
        <v>OK</v>
      </c>
      <c r="O7" s="12" t="s">
        <v>317</v>
      </c>
      <c r="P7" s="16"/>
    </row>
    <row r="8" customFormat="false" ht="15" hidden="false" customHeight="false" outlineLevel="0" collapsed="false">
      <c r="A8" s="12" t="s">
        <v>320</v>
      </c>
      <c r="B8" s="12" t="n">
        <v>2021</v>
      </c>
      <c r="C8" s="13" t="s">
        <v>316</v>
      </c>
      <c r="D8" s="14" t="n">
        <v>44256</v>
      </c>
      <c r="E8" s="14" t="n">
        <v>44316</v>
      </c>
      <c r="F8" s="14" t="n">
        <v>44378</v>
      </c>
      <c r="G8" s="14" t="n">
        <v>44391</v>
      </c>
      <c r="H8" s="15" t="n">
        <f aca="false">ROUND((F8+G8)/2,0)</f>
        <v>44385</v>
      </c>
      <c r="I8" s="12" t="n">
        <f aca="false">G8-F8+1</f>
        <v>14</v>
      </c>
      <c r="J8" s="12" t="str">
        <f aca="false">IF(I8&gt;=12,"OK","SHORT (&lt;12 d)")</f>
        <v>OK</v>
      </c>
      <c r="K8" s="15" t="n">
        <f aca="false">H8</f>
        <v>44385</v>
      </c>
      <c r="L8" s="15" t="n">
        <f aca="false">H8-2</f>
        <v>44383</v>
      </c>
      <c r="M8" s="15" t="n">
        <f aca="false">H8-6</f>
        <v>44379</v>
      </c>
      <c r="N8" s="12" t="str">
        <f aca="false">IF(E8&lt;F8,"OK","ERROR")</f>
        <v>OK</v>
      </c>
      <c r="O8" s="12" t="s">
        <v>317</v>
      </c>
      <c r="P8" s="16"/>
    </row>
    <row r="9" customFormat="false" ht="15" hidden="false" customHeight="false" outlineLevel="0" collapsed="false">
      <c r="A9" s="12" t="s">
        <v>321</v>
      </c>
      <c r="B9" s="12" t="n">
        <v>2022</v>
      </c>
      <c r="C9" s="13" t="s">
        <v>316</v>
      </c>
      <c r="D9" s="14" t="n">
        <v>44621</v>
      </c>
      <c r="E9" s="14" t="n">
        <v>44681</v>
      </c>
      <c r="F9" s="14" t="n">
        <v>44743</v>
      </c>
      <c r="G9" s="14" t="n">
        <v>44756</v>
      </c>
      <c r="H9" s="15" t="n">
        <f aca="false">ROUND((F9+G9)/2,0)</f>
        <v>44750</v>
      </c>
      <c r="I9" s="12" t="n">
        <f aca="false">G9-F9+1</f>
        <v>14</v>
      </c>
      <c r="J9" s="12" t="str">
        <f aca="false">IF(I9&gt;=12,"OK","SHORT (&lt;12 d)")</f>
        <v>OK</v>
      </c>
      <c r="K9" s="15" t="n">
        <f aca="false">H9</f>
        <v>44750</v>
      </c>
      <c r="L9" s="15" t="n">
        <f aca="false">H9-2</f>
        <v>44748</v>
      </c>
      <c r="M9" s="15" t="n">
        <f aca="false">H9-6</f>
        <v>44744</v>
      </c>
      <c r="N9" s="12" t="str">
        <f aca="false">IF(E9&lt;F9,"OK","ERROR")</f>
        <v>OK</v>
      </c>
      <c r="O9" s="12" t="s">
        <v>317</v>
      </c>
      <c r="P9" s="16"/>
    </row>
    <row r="10" customFormat="false" ht="15" hidden="false" customHeight="false" outlineLevel="0" collapsed="false">
      <c r="A10" s="12" t="s">
        <v>322</v>
      </c>
      <c r="B10" s="12" t="n">
        <v>2023</v>
      </c>
      <c r="C10" s="13" t="s">
        <v>316</v>
      </c>
      <c r="D10" s="14" t="n">
        <v>44986</v>
      </c>
      <c r="E10" s="14" t="n">
        <v>45046</v>
      </c>
      <c r="F10" s="14" t="n">
        <v>45108</v>
      </c>
      <c r="G10" s="14" t="n">
        <v>45121</v>
      </c>
      <c r="H10" s="15" t="n">
        <f aca="false">ROUND((F10+G10)/2,0)</f>
        <v>45115</v>
      </c>
      <c r="I10" s="12" t="n">
        <f aca="false">G10-F10+1</f>
        <v>14</v>
      </c>
      <c r="J10" s="12" t="str">
        <f aca="false">IF(I10&gt;=12,"OK","SHORT (&lt;12 d)")</f>
        <v>OK</v>
      </c>
      <c r="K10" s="15" t="n">
        <f aca="false">H10</f>
        <v>45115</v>
      </c>
      <c r="L10" s="15" t="n">
        <f aca="false">H10-2</f>
        <v>45113</v>
      </c>
      <c r="M10" s="15" t="n">
        <f aca="false">H10-6</f>
        <v>45109</v>
      </c>
      <c r="N10" s="12" t="str">
        <f aca="false">IF(E10&lt;F10,"OK","ERROR")</f>
        <v>OK</v>
      </c>
      <c r="O10" s="12" t="s">
        <v>317</v>
      </c>
      <c r="P10" s="16"/>
    </row>
    <row r="11" customFormat="false" ht="15" hidden="false" customHeight="false" outlineLevel="0" collapsed="false">
      <c r="A11" s="12" t="s">
        <v>323</v>
      </c>
      <c r="B11" s="12" t="n">
        <v>2024</v>
      </c>
      <c r="C11" s="13" t="s">
        <v>316</v>
      </c>
      <c r="D11" s="14" t="n">
        <v>45352</v>
      </c>
      <c r="E11" s="14" t="n">
        <v>45412</v>
      </c>
      <c r="F11" s="14" t="n">
        <v>45474</v>
      </c>
      <c r="G11" s="14" t="n">
        <v>45487</v>
      </c>
      <c r="H11" s="15" t="n">
        <f aca="false">ROUND((F11+G11)/2,0)</f>
        <v>45481</v>
      </c>
      <c r="I11" s="12" t="n">
        <f aca="false">G11-F11+1</f>
        <v>14</v>
      </c>
      <c r="J11" s="12" t="str">
        <f aca="false">IF(I11&gt;=12,"OK","SHORT (&lt;12 d)")</f>
        <v>OK</v>
      </c>
      <c r="K11" s="15" t="n">
        <f aca="false">H11</f>
        <v>45481</v>
      </c>
      <c r="L11" s="15" t="n">
        <f aca="false">H11-2</f>
        <v>45479</v>
      </c>
      <c r="M11" s="15" t="n">
        <f aca="false">H11-6</f>
        <v>45475</v>
      </c>
      <c r="N11" s="12" t="str">
        <f aca="false">IF(E11&lt;F11,"OK","ERROR")</f>
        <v>OK</v>
      </c>
      <c r="O11" s="12" t="s">
        <v>317</v>
      </c>
      <c r="P11" s="16"/>
    </row>
    <row r="12" customFormat="false" ht="15" hidden="false" customHeight="false" outlineLevel="0" collapsed="false">
      <c r="A12" s="12" t="s">
        <v>324</v>
      </c>
      <c r="B12" s="12" t="n">
        <v>2025</v>
      </c>
      <c r="C12" s="13" t="s">
        <v>316</v>
      </c>
      <c r="D12" s="14" t="n">
        <v>45717</v>
      </c>
      <c r="E12" s="14" t="n">
        <v>45777</v>
      </c>
      <c r="F12" s="14" t="n">
        <v>45839</v>
      </c>
      <c r="G12" s="14" t="n">
        <v>45852</v>
      </c>
      <c r="H12" s="15" t="n">
        <f aca="false">ROUND((F12+G12)/2,0)</f>
        <v>45846</v>
      </c>
      <c r="I12" s="12" t="n">
        <f aca="false">G12-F12+1</f>
        <v>14</v>
      </c>
      <c r="J12" s="12" t="str">
        <f aca="false">IF(I12&gt;=12,"OK","SHORT (&lt;12 d)")</f>
        <v>OK</v>
      </c>
      <c r="K12" s="15" t="n">
        <f aca="false">H12</f>
        <v>45846</v>
      </c>
      <c r="L12" s="15" t="n">
        <f aca="false">H12-2</f>
        <v>45844</v>
      </c>
      <c r="M12" s="15" t="n">
        <f aca="false">H12-6</f>
        <v>45840</v>
      </c>
      <c r="N12" s="12" t="str">
        <f aca="false">IF(E12&lt;F12,"OK","ERROR")</f>
        <v>OK</v>
      </c>
      <c r="O12" s="12" t="s">
        <v>317</v>
      </c>
      <c r="P12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7" min="6" style="0" width="16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325</v>
      </c>
    </row>
    <row r="2" customFormat="false" ht="15" hidden="false" customHeight="false" outlineLevel="0" collapsed="false">
      <c r="A2" s="11" t="s">
        <v>326</v>
      </c>
    </row>
    <row r="4" customFormat="false" ht="15" hidden="false" customHeight="false" outlineLevel="0" collapsed="false">
      <c r="A4" s="17" t="s">
        <v>327</v>
      </c>
      <c r="B4" s="18" t="n">
        <v>100000</v>
      </c>
      <c r="C4" s="19" t="s">
        <v>328</v>
      </c>
    </row>
    <row r="5" customFormat="false" ht="15" hidden="false" customHeight="false" outlineLevel="0" collapsed="false">
      <c r="A5" s="17" t="s">
        <v>329</v>
      </c>
      <c r="B5" s="20" t="n">
        <v>1.15</v>
      </c>
      <c r="C5" s="19" t="s">
        <v>330</v>
      </c>
    </row>
    <row r="6" customFormat="false" ht="15" hidden="false" customHeight="false" outlineLevel="0" collapsed="false">
      <c r="A6" s="17" t="s">
        <v>331</v>
      </c>
      <c r="B6" s="19" t="n">
        <f aca="false">COUNTA(Events!A5:A104)</f>
        <v>8</v>
      </c>
      <c r="C6" s="19" t="s">
        <v>332</v>
      </c>
    </row>
    <row r="7" customFormat="false" ht="15" hidden="false" customHeight="false" outlineLevel="0" collapsed="false">
      <c r="A7" s="17" t="s">
        <v>333</v>
      </c>
      <c r="B7" s="21" t="n">
        <v>0.5</v>
      </c>
      <c r="C7" s="19" t="s">
        <v>334</v>
      </c>
    </row>
    <row r="8" customFormat="false" ht="15" hidden="false" customHeight="false" outlineLevel="0" collapsed="false">
      <c r="A8" s="17" t="s">
        <v>335</v>
      </c>
      <c r="B8" s="21" t="n">
        <v>0.7</v>
      </c>
      <c r="C8" s="19" t="s">
        <v>336</v>
      </c>
    </row>
    <row r="9" customFormat="false" ht="15" hidden="false" customHeight="false" outlineLevel="0" collapsed="false">
      <c r="A9" s="17" t="s">
        <v>337</v>
      </c>
      <c r="B9" s="21" t="n">
        <v>0.5</v>
      </c>
      <c r="C9" s="19" t="s">
        <v>338</v>
      </c>
    </row>
    <row r="10" customFormat="false" ht="15" hidden="false" customHeight="false" outlineLevel="0" collapsed="false">
      <c r="A10" s="17" t="s">
        <v>339</v>
      </c>
      <c r="B10" s="22" t="n">
        <f aca="false">B4*B5/B6</f>
        <v>14375</v>
      </c>
      <c r="C10" s="19" t="s">
        <v>340</v>
      </c>
    </row>
    <row r="13" customFormat="false" ht="15" hidden="false" customHeight="false" outlineLevel="0" collapsed="false">
      <c r="A13" s="6" t="s">
        <v>341</v>
      </c>
      <c r="B13" s="6" t="s">
        <v>342</v>
      </c>
      <c r="C13" s="6" t="s">
        <v>343</v>
      </c>
      <c r="D13" s="6" t="s">
        <v>344</v>
      </c>
      <c r="E13" s="6" t="s">
        <v>345</v>
      </c>
      <c r="F13" s="6" t="s">
        <v>346</v>
      </c>
      <c r="G13" s="6" t="s">
        <v>347</v>
      </c>
      <c r="H13" s="6" t="s">
        <v>348</v>
      </c>
    </row>
    <row r="14" customFormat="false" ht="15" hidden="false" customHeight="false" outlineLevel="0" collapsed="false">
      <c r="A14" s="12" t="s">
        <v>349</v>
      </c>
      <c r="B14" s="23" t="n">
        <v>78438</v>
      </c>
      <c r="C14" s="24" t="n">
        <f aca="false">$B$9*B14/SUM($B$14:$B$21)+(1-$B$9)/COUNTA($A$14:$A$21)</f>
        <v>0.212088639822411</v>
      </c>
      <c r="D14" s="25" t="n">
        <f aca="false">ROUND($B$10*C14,0)</f>
        <v>3049</v>
      </c>
      <c r="E14" s="25" t="n">
        <f aca="false">ROUND(D14*$B$7,0)</f>
        <v>1525</v>
      </c>
      <c r="F14" s="25" t="n">
        <f aca="false">ROUND((D14-E14)*$B$8,0)</f>
        <v>1067</v>
      </c>
      <c r="G14" s="25" t="n">
        <f aca="false">D14-E14-F14</f>
        <v>457</v>
      </c>
      <c r="H14" s="25" t="n">
        <f aca="false">E14+F14+G14</f>
        <v>3049</v>
      </c>
    </row>
    <row r="15" customFormat="false" ht="15" hidden="false" customHeight="false" outlineLevel="0" collapsed="false">
      <c r="A15" s="12" t="s">
        <v>350</v>
      </c>
      <c r="B15" s="23" t="n">
        <v>83743</v>
      </c>
      <c r="C15" s="24" t="n">
        <f aca="false">$B$9*B15/SUM($B$14:$B$21)+(1-$B$9)/COUNTA($A$14:$A$21)</f>
        <v>0.222205773536401</v>
      </c>
      <c r="D15" s="25" t="n">
        <f aca="false">ROUND($B$10*C15,0)</f>
        <v>3194</v>
      </c>
      <c r="E15" s="25" t="n">
        <f aca="false">ROUND(D15*$B$7,0)</f>
        <v>1597</v>
      </c>
      <c r="F15" s="25" t="n">
        <f aca="false">ROUND((D15-E15)*$B$8,0)</f>
        <v>1118</v>
      </c>
      <c r="G15" s="25" t="n">
        <f aca="false">D15-E15-F15</f>
        <v>479</v>
      </c>
      <c r="H15" s="25" t="n">
        <f aca="false">E15+F15+G15</f>
        <v>3194</v>
      </c>
    </row>
    <row r="16" customFormat="false" ht="15" hidden="false" customHeight="false" outlineLevel="0" collapsed="false">
      <c r="A16" s="12" t="s">
        <v>351</v>
      </c>
      <c r="B16" s="23" t="n">
        <v>22429</v>
      </c>
      <c r="C16" s="24" t="n">
        <f aca="false">$B$9*B16/SUM($B$14:$B$21)+(1-$B$9)/COUNTA($A$14:$A$21)</f>
        <v>0.105274211511982</v>
      </c>
      <c r="D16" s="25" t="n">
        <f aca="false">ROUND($B$10*C16,0)</f>
        <v>1513</v>
      </c>
      <c r="E16" s="25" t="n">
        <f aca="false">ROUND(D16*$B$7,0)</f>
        <v>757</v>
      </c>
      <c r="F16" s="25" t="n">
        <f aca="false">ROUND((D16-E16)*$B$8,0)</f>
        <v>529</v>
      </c>
      <c r="G16" s="25" t="n">
        <f aca="false">D16-E16-F16</f>
        <v>227</v>
      </c>
      <c r="H16" s="25" t="n">
        <f aca="false">E16+F16+G16</f>
        <v>1513</v>
      </c>
    </row>
    <row r="17" customFormat="false" ht="15" hidden="false" customHeight="false" outlineLevel="0" collapsed="false">
      <c r="A17" s="12" t="s">
        <v>352</v>
      </c>
      <c r="B17" s="23" t="n">
        <v>22327</v>
      </c>
      <c r="C17" s="24" t="n">
        <f aca="false">$B$9*B17/SUM($B$14:$B$21)+(1-$B$9)/COUNTA($A$14:$A$21)</f>
        <v>0.105079687923136</v>
      </c>
      <c r="D17" s="25" t="n">
        <f aca="false">ROUND($B$10*C17,0)</f>
        <v>1511</v>
      </c>
      <c r="E17" s="25" t="n">
        <f aca="false">ROUND(D17*$B$7,0)</f>
        <v>756</v>
      </c>
      <c r="F17" s="25" t="n">
        <f aca="false">ROUND((D17-E17)*$B$8,0)</f>
        <v>529</v>
      </c>
      <c r="G17" s="25" t="n">
        <f aca="false">D17-E17-F17</f>
        <v>226</v>
      </c>
      <c r="H17" s="25" t="n">
        <f aca="false">E17+F17+G17</f>
        <v>1511</v>
      </c>
    </row>
    <row r="18" customFormat="false" ht="15" hidden="false" customHeight="false" outlineLevel="0" collapsed="false">
      <c r="A18" s="12" t="s">
        <v>353</v>
      </c>
      <c r="B18" s="23" t="n">
        <v>21081</v>
      </c>
      <c r="C18" s="24" t="n">
        <f aca="false">$B$9*B18/SUM($B$14:$B$21)+(1-$B$9)/COUNTA($A$14:$A$21)</f>
        <v>0.102703448788805</v>
      </c>
      <c r="D18" s="25" t="n">
        <f aca="false">ROUND($B$10*C18,0)</f>
        <v>1476</v>
      </c>
      <c r="E18" s="25" t="n">
        <f aca="false">ROUND(D18*$B$7,0)</f>
        <v>738</v>
      </c>
      <c r="F18" s="25" t="n">
        <f aca="false">ROUND((D18-E18)*$B$8,0)</f>
        <v>517</v>
      </c>
      <c r="G18" s="25" t="n">
        <f aca="false">D18-E18-F18</f>
        <v>221</v>
      </c>
      <c r="H18" s="25" t="n">
        <f aca="false">E18+F18+G18</f>
        <v>1476</v>
      </c>
    </row>
    <row r="19" customFormat="false" ht="15" hidden="false" customHeight="false" outlineLevel="0" collapsed="false">
      <c r="A19" s="12" t="s">
        <v>354</v>
      </c>
      <c r="B19" s="23" t="n">
        <v>16579</v>
      </c>
      <c r="C19" s="24" t="n">
        <f aca="false">$B$9*B19/SUM($B$14:$B$21)+(1-$B$9)/COUNTA($A$14:$A$21)</f>
        <v>0.0941177115634738</v>
      </c>
      <c r="D19" s="25" t="n">
        <f aca="false">ROUND($B$10*C19,0)</f>
        <v>1353</v>
      </c>
      <c r="E19" s="25" t="n">
        <f aca="false">ROUND(D19*$B$7,0)</f>
        <v>677</v>
      </c>
      <c r="F19" s="25" t="n">
        <f aca="false">ROUND((D19-E19)*$B$8,0)</f>
        <v>473</v>
      </c>
      <c r="G19" s="25" t="n">
        <f aca="false">D19-E19-F19</f>
        <v>203</v>
      </c>
      <c r="H19" s="25" t="n">
        <f aca="false">E19+F19+G19</f>
        <v>1353</v>
      </c>
    </row>
    <row r="20" customFormat="false" ht="15" hidden="false" customHeight="false" outlineLevel="0" collapsed="false">
      <c r="A20" s="12" t="s">
        <v>355</v>
      </c>
      <c r="B20" s="23" t="n">
        <v>10486</v>
      </c>
      <c r="C20" s="24" t="n">
        <f aca="false">$B$9*B20/SUM($B$14:$B$21)+(1-$B$9)/COUNTA($A$14:$A$21)</f>
        <v>0.0824977877709504</v>
      </c>
      <c r="D20" s="25" t="n">
        <f aca="false">ROUND($B$10*C20,0)</f>
        <v>1186</v>
      </c>
      <c r="E20" s="25" t="n">
        <f aca="false">ROUND(D20*$B$7,0)</f>
        <v>593</v>
      </c>
      <c r="F20" s="25" t="n">
        <f aca="false">ROUND((D20-E20)*$B$8,0)</f>
        <v>415</v>
      </c>
      <c r="G20" s="25" t="n">
        <f aca="false">D20-E20-F20</f>
        <v>178</v>
      </c>
      <c r="H20" s="25" t="n">
        <f aca="false">E20+F20+G20</f>
        <v>1186</v>
      </c>
    </row>
    <row r="21" customFormat="false" ht="15" hidden="false" customHeight="false" outlineLevel="0" collapsed="false">
      <c r="A21" s="12" t="s">
        <v>356</v>
      </c>
      <c r="B21" s="23" t="n">
        <v>7096</v>
      </c>
      <c r="C21" s="24" t="n">
        <f aca="false">$B$9*B21/SUM($B$14:$B$21)+(1-$B$9)/COUNTA($A$14:$A$21)</f>
        <v>0.0760327390828404</v>
      </c>
      <c r="D21" s="25" t="n">
        <f aca="false">ROUND($B$10*C21,0)</f>
        <v>1093</v>
      </c>
      <c r="E21" s="25" t="n">
        <f aca="false">ROUND(D21*$B$7,0)</f>
        <v>547</v>
      </c>
      <c r="F21" s="25" t="n">
        <f aca="false">ROUND((D21-E21)*$B$8,0)</f>
        <v>382</v>
      </c>
      <c r="G21" s="25" t="n">
        <f aca="false">D21-E21-F21</f>
        <v>164</v>
      </c>
      <c r="H21" s="25" t="n">
        <f aca="false">E21+F21+G21</f>
        <v>1093</v>
      </c>
    </row>
    <row r="22" customFormat="false" ht="15" hidden="false" customHeight="false" outlineLevel="0" collapsed="false">
      <c r="A22" s="26" t="s">
        <v>357</v>
      </c>
      <c r="B22" s="27" t="n">
        <f aca="false">SUM(B14:B21)</f>
        <v>262179</v>
      </c>
      <c r="C22" s="28" t="n">
        <f aca="false">SUM(C14:C21)</f>
        <v>1</v>
      </c>
      <c r="D22" s="27" t="n">
        <f aca="false">SUM(D14:D21)</f>
        <v>14375</v>
      </c>
      <c r="E22" s="27" t="n">
        <f aca="false">SUM(E14:E21)</f>
        <v>7190</v>
      </c>
      <c r="F22" s="27" t="n">
        <f aca="false">SUM(F14:F21)</f>
        <v>5030</v>
      </c>
      <c r="G22" s="27" t="n">
        <f aca="false">SUM(G14:G21)</f>
        <v>2155</v>
      </c>
      <c r="H22" s="27" t="n">
        <f aca="false">SUM(H14:H21)</f>
        <v>14375</v>
      </c>
    </row>
    <row r="23" customFormat="false" ht="15" hidden="false" customHeight="false" outlineLevel="0" collapsed="false">
      <c r="A23" s="26" t="s">
        <v>358</v>
      </c>
      <c r="B23" s="26"/>
      <c r="C23" s="26"/>
      <c r="D23" s="27" t="n">
        <f aca="false">D22*$B$6</f>
        <v>115000</v>
      </c>
      <c r="E23" s="27" t="n">
        <f aca="false">E22*$B$6</f>
        <v>57520</v>
      </c>
      <c r="F23" s="27" t="n">
        <f aca="false">F22*$B$6</f>
        <v>40240</v>
      </c>
      <c r="G23" s="27" t="n">
        <f aca="false">G22*$B$6</f>
        <v>17240</v>
      </c>
      <c r="H23" s="27" t="n">
        <f aca="false">H22*$B$6</f>
        <v>115000</v>
      </c>
    </row>
    <row r="25" customFormat="false" ht="15" hidden="false" customHeight="false" outlineLevel="0" collapsed="false">
      <c r="A25" s="11" t="s">
        <v>359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62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360</v>
      </c>
    </row>
    <row r="3" customFormat="false" ht="15" hidden="false" customHeight="false" outlineLevel="0" collapsed="false">
      <c r="A3" s="6" t="s">
        <v>20</v>
      </c>
      <c r="B3" s="6" t="s">
        <v>361</v>
      </c>
      <c r="C3" s="6" t="s">
        <v>362</v>
      </c>
      <c r="D3" s="6" t="s">
        <v>363</v>
      </c>
    </row>
    <row r="4" customFormat="false" ht="23.85" hidden="false" customHeight="false" outlineLevel="0" collapsed="false">
      <c r="A4" s="7" t="n">
        <v>1</v>
      </c>
      <c r="B4" s="7" t="s">
        <v>364</v>
      </c>
      <c r="C4" s="7" t="s">
        <v>365</v>
      </c>
      <c r="D4" s="7" t="s">
        <v>366</v>
      </c>
    </row>
    <row r="5" customFormat="false" ht="35.05" hidden="false" customHeight="false" outlineLevel="0" collapsed="false">
      <c r="A5" s="7" t="n">
        <v>2</v>
      </c>
      <c r="B5" s="7" t="s">
        <v>367</v>
      </c>
      <c r="C5" s="7" t="s">
        <v>368</v>
      </c>
      <c r="D5" s="7" t="s">
        <v>369</v>
      </c>
    </row>
    <row r="6" customFormat="false" ht="23.85" hidden="false" customHeight="false" outlineLevel="0" collapsed="false">
      <c r="A6" s="7" t="n">
        <v>3</v>
      </c>
      <c r="B6" s="7" t="s">
        <v>370</v>
      </c>
      <c r="C6" s="7" t="s">
        <v>371</v>
      </c>
      <c r="D6" s="7" t="s">
        <v>372</v>
      </c>
    </row>
    <row r="7" customFormat="false" ht="15" hidden="false" customHeight="false" outlineLevel="0" collapsed="false">
      <c r="A7" s="7" t="n">
        <v>4</v>
      </c>
      <c r="B7" s="7" t="s">
        <v>373</v>
      </c>
      <c r="C7" s="7" t="s">
        <v>374</v>
      </c>
      <c r="D7" s="7" t="s">
        <v>375</v>
      </c>
    </row>
    <row r="8" customFormat="false" ht="15" hidden="false" customHeight="false" outlineLevel="0" collapsed="false">
      <c r="A8" s="7" t="n">
        <v>5</v>
      </c>
      <c r="B8" s="7" t="s">
        <v>376</v>
      </c>
      <c r="C8" s="7" t="s">
        <v>377</v>
      </c>
      <c r="D8" s="7" t="s">
        <v>378</v>
      </c>
    </row>
    <row r="9" customFormat="false" ht="23.85" hidden="false" customHeight="false" outlineLevel="0" collapsed="false">
      <c r="A9" s="7" t="n">
        <v>6</v>
      </c>
      <c r="B9" s="7" t="s">
        <v>379</v>
      </c>
      <c r="C9" s="7" t="s">
        <v>380</v>
      </c>
      <c r="D9" s="7" t="s">
        <v>381</v>
      </c>
    </row>
    <row r="10" customFormat="false" ht="23.85" hidden="false" customHeight="false" outlineLevel="0" collapsed="false">
      <c r="A10" s="7" t="n">
        <v>7</v>
      </c>
      <c r="B10" s="7" t="s">
        <v>382</v>
      </c>
      <c r="C10" s="7" t="s">
        <v>383</v>
      </c>
      <c r="D10" s="7" t="s">
        <v>384</v>
      </c>
    </row>
    <row r="11" customFormat="false" ht="23.85" hidden="false" customHeight="false" outlineLevel="0" collapsed="false">
      <c r="A11" s="7" t="n">
        <v>8</v>
      </c>
      <c r="B11" s="7" t="s">
        <v>385</v>
      </c>
      <c r="C11" s="7" t="s">
        <v>386</v>
      </c>
      <c r="D11" s="7" t="s">
        <v>387</v>
      </c>
    </row>
    <row r="12" customFormat="false" ht="15" hidden="false" customHeight="false" outlineLevel="0" collapsed="false">
      <c r="A12" s="7" t="n">
        <v>9</v>
      </c>
      <c r="B12" s="7" t="s">
        <v>388</v>
      </c>
      <c r="C12" s="7" t="s">
        <v>389</v>
      </c>
      <c r="D12" s="7" t="s">
        <v>390</v>
      </c>
    </row>
    <row r="13" customFormat="false" ht="23.85" hidden="false" customHeight="false" outlineLevel="0" collapsed="false">
      <c r="A13" s="7" t="n">
        <v>10</v>
      </c>
      <c r="B13" s="7" t="s">
        <v>391</v>
      </c>
      <c r="C13" s="7" t="s">
        <v>392</v>
      </c>
      <c r="D13" s="7" t="s">
        <v>393</v>
      </c>
    </row>
    <row r="14" customFormat="false" ht="15" hidden="false" customHeight="false" outlineLevel="0" collapsed="false">
      <c r="A14" s="7" t="n">
        <v>11</v>
      </c>
      <c r="B14" s="7" t="s">
        <v>394</v>
      </c>
      <c r="C14" s="7" t="s">
        <v>395</v>
      </c>
      <c r="D14" s="7" t="s">
        <v>396</v>
      </c>
    </row>
    <row r="15" customFormat="false" ht="23.85" hidden="false" customHeight="false" outlineLevel="0" collapsed="false">
      <c r="A15" s="7" t="n">
        <v>12</v>
      </c>
      <c r="B15" s="7" t="s">
        <v>397</v>
      </c>
      <c r="C15" s="7" t="s">
        <v>398</v>
      </c>
      <c r="D15" s="7" t="s">
        <v>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4" min="2" style="0" width="15"/>
    <col collapsed="false" customWidth="true" hidden="false" outlineLevel="0" max="25" min="25" style="0" width="22"/>
    <col collapsed="false" customWidth="true" hidden="false" outlineLevel="0" max="38" min="26" style="0" width="15"/>
  </cols>
  <sheetData>
    <row r="1" customFormat="false" ht="17.35" hidden="false" customHeight="false" outlineLevel="0" collapsed="false">
      <c r="A1" s="1" t="s">
        <v>400</v>
      </c>
    </row>
    <row r="2" customFormat="false" ht="15" hidden="false" customHeight="false" outlineLevel="0" collapsed="false">
      <c r="A2" s="19" t="s">
        <v>401</v>
      </c>
    </row>
    <row r="3" customFormat="false" ht="15" hidden="false" customHeight="false" outlineLevel="0" collapsed="false">
      <c r="A3" s="29" t="s">
        <v>402</v>
      </c>
    </row>
    <row r="5" customFormat="false" ht="15" hidden="false" customHeight="false" outlineLevel="0" collapsed="false">
      <c r="A5" s="6" t="s">
        <v>27</v>
      </c>
      <c r="B5" s="6" t="s">
        <v>32</v>
      </c>
      <c r="C5" s="6" t="s">
        <v>34</v>
      </c>
      <c r="D5" s="6" t="s">
        <v>40</v>
      </c>
      <c r="E5" s="6" t="s">
        <v>43</v>
      </c>
      <c r="F5" s="6" t="s">
        <v>48</v>
      </c>
      <c r="G5" s="6" t="s">
        <v>54</v>
      </c>
      <c r="H5" s="6" t="s">
        <v>57</v>
      </c>
      <c r="I5" s="6" t="s">
        <v>61</v>
      </c>
      <c r="J5" s="6" t="s">
        <v>63</v>
      </c>
      <c r="K5" s="6" t="s">
        <v>65</v>
      </c>
      <c r="L5" s="6" t="s">
        <v>67</v>
      </c>
      <c r="M5" s="6" t="s">
        <v>73</v>
      </c>
      <c r="N5" s="6" t="s">
        <v>76</v>
      </c>
      <c r="O5" s="6" t="s">
        <v>80</v>
      </c>
      <c r="P5" s="6" t="s">
        <v>83</v>
      </c>
      <c r="Q5" s="6" t="s">
        <v>85</v>
      </c>
      <c r="R5" s="6" t="s">
        <v>87</v>
      </c>
      <c r="S5" s="6" t="s">
        <v>90</v>
      </c>
      <c r="T5" s="6" t="s">
        <v>95</v>
      </c>
      <c r="U5" s="6" t="s">
        <v>99</v>
      </c>
      <c r="V5" s="6" t="s">
        <v>105</v>
      </c>
      <c r="W5" s="6" t="s">
        <v>108</v>
      </c>
      <c r="X5" s="6" t="s">
        <v>110</v>
      </c>
      <c r="Y5" s="6" t="s">
        <v>116</v>
      </c>
      <c r="Z5" s="6" t="s">
        <v>120</v>
      </c>
      <c r="AA5" s="6" t="s">
        <v>122</v>
      </c>
      <c r="AB5" s="6" t="s">
        <v>124</v>
      </c>
      <c r="AC5" s="6" t="s">
        <v>129</v>
      </c>
      <c r="AD5" s="6" t="s">
        <v>133</v>
      </c>
      <c r="AE5" s="6" t="s">
        <v>137</v>
      </c>
      <c r="AF5" s="6" t="s">
        <v>141</v>
      </c>
      <c r="AG5" s="6" t="s">
        <v>147</v>
      </c>
      <c r="AH5" s="6" t="s">
        <v>153</v>
      </c>
      <c r="AI5" s="6" t="s">
        <v>156</v>
      </c>
      <c r="AJ5" s="6" t="s">
        <v>160</v>
      </c>
      <c r="AK5" s="6" t="s">
        <v>162</v>
      </c>
      <c r="AL5" s="6" t="s">
        <v>165</v>
      </c>
    </row>
    <row r="6" customFormat="false" ht="15" hidden="false" customHeight="false" outlineLevel="0" collapsed="false">
      <c r="A6" s="30" t="n">
        <v>26.15</v>
      </c>
      <c r="B6" s="30" t="n">
        <v>91.75</v>
      </c>
      <c r="C6" s="31" t="n">
        <v>45481</v>
      </c>
      <c r="D6" s="30" t="n">
        <v>2024</v>
      </c>
      <c r="E6" s="30" t="s">
        <v>349</v>
      </c>
      <c r="F6" s="30" t="n">
        <v>-9.8</v>
      </c>
      <c r="G6" s="30" t="n">
        <v>-19.4</v>
      </c>
      <c r="H6" s="30" t="n">
        <v>-9.6</v>
      </c>
      <c r="I6" s="30" t="n">
        <v>-16.9</v>
      </c>
      <c r="J6" s="30" t="n">
        <v>-26.1</v>
      </c>
      <c r="K6" s="30" t="n">
        <v>-9.2</v>
      </c>
      <c r="L6" s="30" t="n">
        <v>0.68</v>
      </c>
      <c r="M6" s="30" t="n">
        <v>0.12</v>
      </c>
      <c r="N6" s="30" t="n">
        <v>-0.56</v>
      </c>
      <c r="O6" s="30" t="n">
        <v>-0.55</v>
      </c>
      <c r="P6" s="30" t="n">
        <v>0.31</v>
      </c>
      <c r="Q6" s="30" t="n">
        <v>0.86</v>
      </c>
      <c r="R6" s="30" t="n">
        <v>0.42</v>
      </c>
      <c r="S6" s="30" t="n">
        <v>52</v>
      </c>
      <c r="T6" s="30" t="n">
        <v>0.4</v>
      </c>
      <c r="U6" s="30" t="n">
        <v>38.5</v>
      </c>
      <c r="V6" s="30" t="n">
        <v>96.2</v>
      </c>
      <c r="W6" s="30" t="n">
        <v>187.4</v>
      </c>
      <c r="X6" s="30" t="n">
        <v>1</v>
      </c>
      <c r="Y6" s="30" t="s">
        <v>403</v>
      </c>
      <c r="Z6" s="31" t="n">
        <v>45474</v>
      </c>
      <c r="AA6" s="31" t="n">
        <v>45487</v>
      </c>
      <c r="AB6" s="30" t="s">
        <v>404</v>
      </c>
      <c r="AC6" s="30" t="n">
        <v>367104</v>
      </c>
      <c r="AD6" s="30" t="n">
        <v>1</v>
      </c>
      <c r="AE6" s="30" t="n">
        <v>3.2</v>
      </c>
      <c r="AF6" s="30" t="n">
        <v>4</v>
      </c>
      <c r="AG6" s="30" t="n">
        <v>30</v>
      </c>
      <c r="AH6" s="30" t="n">
        <v>0</v>
      </c>
      <c r="AI6" s="30" t="n">
        <v>4</v>
      </c>
      <c r="AJ6" s="30" t="n">
        <v>2</v>
      </c>
      <c r="AK6" s="30" t="n">
        <v>1</v>
      </c>
      <c r="AL6" s="3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2026-09-19T12:22:48Z</dcterms:created>
  <dc:creator>openpyxl</dc:creator>
  <dc:description/>
  <dc:language>en-US</dc:language>
  <cp:lastModifiedBy/>
  <dcterms:modified xsi:type="dcterms:W3CDTF">2026-09-19T12:22:48Z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